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ensumgroupno.sharepoint.com/sites/Common/Delte dokumenter/Aktiv Forvaltning/Helhetlig forvaltning/"/>
    </mc:Choice>
  </mc:AlternateContent>
  <xr:revisionPtr revIDLastSave="0" documentId="8_{61B984A5-004E-421E-9716-89A3DF9B6E17}" xr6:coauthVersionLast="47" xr6:coauthVersionMax="47" xr10:uidLastSave="{00000000-0000-0000-0000-000000000000}"/>
  <bookViews>
    <workbookView xWindow="-80" yWindow="-80" windowWidth="19360" windowHeight="11440" xr2:uid="{C9F7D1BF-8113-4886-BDC8-6D18E7B555E8}"/>
  </bookViews>
  <sheets>
    <sheet name="Definerte porteføljer" sheetId="1" r:id="rId1"/>
    <sheet name="Ark2" sheetId="8" r:id="rId2"/>
    <sheet name="Ark1" sheetId="7" r:id="rId3"/>
    <sheet name="100% Aksjer" sheetId="2" r:id="rId4"/>
    <sheet name="70_30" sheetId="4" r:id="rId5"/>
    <sheet name="80_20"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 i="1" l="1"/>
  <c r="V15" i="1"/>
  <c r="X14" i="1"/>
  <c r="X21" i="1" s="1"/>
  <c r="V9" i="1"/>
  <c r="V8" i="1"/>
  <c r="V21" i="1" s="1"/>
  <c r="R17" i="1"/>
  <c r="Q17" i="1"/>
  <c r="R16" i="1"/>
  <c r="Q16" i="1"/>
  <c r="R15" i="1"/>
  <c r="Q15" i="1"/>
  <c r="P15" i="1"/>
  <c r="R14" i="1"/>
  <c r="Q14" i="1"/>
  <c r="R9" i="1"/>
  <c r="Q9" i="1"/>
  <c r="P9" i="1"/>
  <c r="R8" i="1"/>
  <c r="Q8" i="1"/>
  <c r="P8" i="1"/>
  <c r="O21" i="1"/>
  <c r="N21" i="1"/>
  <c r="M21" i="1"/>
  <c r="R21" i="1" l="1"/>
  <c r="Q21" i="1"/>
  <c r="P21" i="1"/>
  <c r="U21" i="1" l="1"/>
  <c r="T21" i="1"/>
  <c r="S21" i="1"/>
  <c r="L21" i="1"/>
  <c r="K21" i="1"/>
  <c r="J21" i="1"/>
  <c r="I21" i="1"/>
  <c r="H21" i="1"/>
  <c r="G21" i="1"/>
  <c r="F21" i="1"/>
  <c r="E21" i="1"/>
  <c r="D21" i="1"/>
</calcChain>
</file>

<file path=xl/sharedStrings.xml><?xml version="1.0" encoding="utf-8"?>
<sst xmlns="http://schemas.openxmlformats.org/spreadsheetml/2006/main" count="100" uniqueCount="69">
  <si>
    <t>Pensum Kairos</t>
  </si>
  <si>
    <t>Kjerneporteføljer</t>
  </si>
  <si>
    <t>Pensum Norge</t>
  </si>
  <si>
    <t>Pensum Global Høyrente</t>
  </si>
  <si>
    <t>Pensum Nordisk Høyrente</t>
  </si>
  <si>
    <t>Spesifikke eksponeringer</t>
  </si>
  <si>
    <t>Pensum Global Energy</t>
  </si>
  <si>
    <t>Pensum Nordic Banking Sector</t>
  </si>
  <si>
    <t>Illikvide plasseringer</t>
  </si>
  <si>
    <t>Eksterne enkeltinvesteringer</t>
  </si>
  <si>
    <t>Portefølje 100 % Aksjer</t>
  </si>
  <si>
    <t>Pensum Basis</t>
  </si>
  <si>
    <t>Totalt</t>
  </si>
  <si>
    <t>100 % Aksjer</t>
  </si>
  <si>
    <t>Regioner, Sektorer, Stil, avkastning, risiko</t>
  </si>
  <si>
    <t>Pensum Financial Opp</t>
  </si>
  <si>
    <t>80/20</t>
  </si>
  <si>
    <t>Portefølje 70/30 m basis</t>
  </si>
  <si>
    <t>Portefølje 70/30 u basis</t>
  </si>
  <si>
    <t>Pensum Kairos fordeles mellom edge og core active frem til oppstart</t>
  </si>
  <si>
    <t>Aktivaklasse</t>
  </si>
  <si>
    <t>Kategori</t>
  </si>
  <si>
    <t>Kombinasjon aksjer og renter</t>
  </si>
  <si>
    <t>Aksjer</t>
  </si>
  <si>
    <t>Renter</t>
  </si>
  <si>
    <t>Kjerneeksponeringer</t>
  </si>
  <si>
    <t>Helhetlig portefølje</t>
  </si>
  <si>
    <t>Globale Aksjer</t>
  </si>
  <si>
    <t>Pensum Global Edge</t>
  </si>
  <si>
    <t>Pensum Global Core Active</t>
  </si>
  <si>
    <t>Norske Aksjer</t>
  </si>
  <si>
    <t>Globale Renter</t>
  </si>
  <si>
    <t>Kombinasjon aksjer og renter, overvekt aksjer</t>
  </si>
  <si>
    <t>Globale, tematiske aksjer</t>
  </si>
  <si>
    <t>Globale energiaksjer</t>
  </si>
  <si>
    <t>Nordisk banksektor</t>
  </si>
  <si>
    <t>Nordiske høyrenteobligasjoner</t>
  </si>
  <si>
    <t>Europeiske bankobligasjoner</t>
  </si>
  <si>
    <t>Allokering 1</t>
  </si>
  <si>
    <t>Core Active</t>
  </si>
  <si>
    <t>Edge</t>
  </si>
  <si>
    <t>Norge</t>
  </si>
  <si>
    <t>Global Høyrente</t>
  </si>
  <si>
    <t>Kairos</t>
  </si>
  <si>
    <t>Global Energy</t>
  </si>
  <si>
    <t>Nordic Banking</t>
  </si>
  <si>
    <t>Nordisk Høyrente</t>
  </si>
  <si>
    <t>Financial Opportunity</t>
  </si>
  <si>
    <t>Allokering 1 (Kjerne)</t>
  </si>
  <si>
    <t>Allokering 2 (Kjerne +)</t>
  </si>
  <si>
    <t>Allokering 3 (Kjerne ++)</t>
  </si>
  <si>
    <t>70/30 u Basis</t>
  </si>
  <si>
    <t>70/30 m Basis</t>
  </si>
  <si>
    <t>Portefølje 50/50 m basis</t>
  </si>
  <si>
    <t>Portefølje 50/50 u basis</t>
  </si>
  <si>
    <t>Spissede eksponeringer</t>
  </si>
  <si>
    <t>Portefølje 30/70 m basis</t>
  </si>
  <si>
    <t>Portefølje 30/70 u basis</t>
  </si>
  <si>
    <t>Beskrivelse</t>
  </si>
  <si>
    <t>Grunnmur i en helhetlig forvaltet portefølje. Diversifisert eksponering mot ulike typer rentefond, aksjefond og i tillegg et knippe norske enkeltaksjer.</t>
  </si>
  <si>
    <t>Kjerneeksponering mot globale aksjer. Bred eksponering mot det globale aksjemarkedet. Porteføljen består av aktivt forvaltede fond som i stor grad investerer i store kvalitetsselskaper. Sektor og regionseksponering ligner indekssammensetningen.</t>
  </si>
  <si>
    <t>Kjerneeksponering mot globale aksjer. Porteføljen består av aktivt forvaltede fond, med en overvekt mot nisjesegmenter og smalere investeringsunivers, hvor forvalterne har spisskompetanse på dette feltet. Eksempler kan være sektorfond, fond med eksponering mot enkeltland, enkelttema eller kun små selskaper. Eksponeringen kan avvike til dels mye fra indeks.</t>
  </si>
  <si>
    <t xml:space="preserve">Kjerneeksponering innen rentefond. Porteføljen består av bred eksponering mot det globale rentemarkede. Brorparten av kapitalen er plassert i høyrenteobligasjoner, men det er også oftest innslag av investment grade. </t>
  </si>
  <si>
    <t>Spisset eksponering. Fondet investerer i enkeltaksjer innen utvalgte aktuelle tema, eksempler kan være energi, forsvar, AI osv.</t>
  </si>
  <si>
    <t>Spisset eksponering. Fondet investerer i norske enkeltaksjer, med en tilt mot utbyttebetalende kvalitetsselskaper.</t>
  </si>
  <si>
    <t>Spisset eksponering. Fondet investerer i globale energiselskaper og kan investere i både fossil og fornybar energi.</t>
  </si>
  <si>
    <t>Spisset eksponering. Fondet investerer i den nordiske banksektoren og plasserer midler i både aksjer og obligasjoner.</t>
  </si>
  <si>
    <t>Spisset eksponering. Portefølje av rentefond, hovedsakelig nordisk høyrente, men kan også plassere kapital i sikrere IG papirer. Relativt kort rentedurasjon.</t>
  </si>
  <si>
    <t>Spisset eksponering. Fondet investerer i renteinstrumenter utstedt av europeiske banker og andre finansinstitusjoner, med hovedvekt på såkalt hybridkapital, også kjent som COCOs(contingent convertibles).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</si>
</sst>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sz val="20"/>
      <color theme="1"/>
      <name val="Aptos Narrow"/>
      <family val="2"/>
      <scheme val="minor"/>
    </font>
    <font>
      <b/>
      <sz val="22"/>
      <color theme="0"/>
      <name val="Aptos Narrow"/>
      <family val="2"/>
      <scheme val="minor"/>
    </font>
    <font>
      <sz val="11"/>
      <color theme="1"/>
      <name val="Open Sans"/>
      <family val="2"/>
    </font>
    <font>
      <b/>
      <sz val="11"/>
      <color theme="1"/>
      <name val="Open Sans"/>
      <family val="2"/>
    </font>
    <font>
      <sz val="14"/>
      <color theme="1"/>
      <name val="Aptos Narrow"/>
      <family val="2"/>
      <scheme val="minor"/>
    </font>
    <font>
      <b/>
      <sz val="14"/>
      <color theme="1"/>
      <name val="Aptos Narrow"/>
      <family val="2"/>
      <scheme val="minor"/>
    </font>
  </fonts>
  <fills count="10">
    <fill>
      <patternFill patternType="none"/>
    </fill>
    <fill>
      <patternFill patternType="gray125"/>
    </fill>
    <fill>
      <patternFill patternType="solid">
        <fgColor theme="5" tint="0.59999389629810485"/>
        <bgColor indexed="64"/>
      </patternFill>
    </fill>
    <fill>
      <patternFill patternType="solid">
        <fgColor theme="8" tint="-0.499984740745262"/>
        <bgColor indexed="64"/>
      </patternFill>
    </fill>
    <fill>
      <patternFill patternType="solid">
        <fgColor theme="4" tint="0.89999084444715716"/>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1" tint="0.749992370372631"/>
        <bgColor indexed="64"/>
      </patternFill>
    </fill>
    <fill>
      <patternFill patternType="solid">
        <fgColor rgb="FFDAEFC3"/>
        <bgColor indexed="64"/>
      </patternFill>
    </fill>
    <fill>
      <patternFill patternType="solid">
        <fgColor rgb="FFB8E08C"/>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63">
    <xf numFmtId="0" fontId="0" fillId="0" borderId="0" xfId="0"/>
    <xf numFmtId="0" fontId="2" fillId="0" borderId="0" xfId="0" applyFont="1"/>
    <xf numFmtId="0" fontId="0" fillId="0" borderId="0" xfId="0" applyAlignment="1">
      <alignment horizontal="center"/>
    </xf>
    <xf numFmtId="0" fontId="2" fillId="0" borderId="0" xfId="0" applyFont="1" applyAlignment="1">
      <alignment horizontal="center"/>
    </xf>
    <xf numFmtId="0" fontId="3" fillId="0" borderId="0" xfId="0" applyFont="1"/>
    <xf numFmtId="0" fontId="0" fillId="0" borderId="0" xfId="0" applyAlignment="1">
      <alignment horizontal="left"/>
    </xf>
    <xf numFmtId="0" fontId="5" fillId="0" borderId="0" xfId="0" applyFont="1" applyAlignment="1">
      <alignment wrapText="1"/>
    </xf>
    <xf numFmtId="0" fontId="5" fillId="0" borderId="0" xfId="0" applyFont="1" applyAlignment="1">
      <alignment vertical="center" wrapText="1"/>
    </xf>
    <xf numFmtId="0" fontId="6" fillId="0" borderId="0" xfId="0" applyFont="1" applyAlignment="1">
      <alignment vertical="center" wrapText="1"/>
    </xf>
    <xf numFmtId="164" fontId="0" fillId="0" borderId="0" xfId="0" applyNumberFormat="1" applyAlignment="1">
      <alignment horizontal="center"/>
    </xf>
    <xf numFmtId="0" fontId="0" fillId="4" borderId="0" xfId="0" applyFill="1" applyAlignment="1">
      <alignment horizontal="center"/>
    </xf>
    <xf numFmtId="9" fontId="0" fillId="4" borderId="0" xfId="0" applyNumberFormat="1" applyFill="1" applyAlignment="1">
      <alignment horizontal="center"/>
    </xf>
    <xf numFmtId="9" fontId="2" fillId="4" borderId="0" xfId="1" applyFont="1" applyFill="1" applyAlignment="1">
      <alignment horizontal="center"/>
    </xf>
    <xf numFmtId="0" fontId="0" fillId="5" borderId="0" xfId="0" applyFill="1" applyAlignment="1">
      <alignment horizontal="center"/>
    </xf>
    <xf numFmtId="164" fontId="0" fillId="5" borderId="0" xfId="0" applyNumberFormat="1" applyFill="1" applyAlignment="1">
      <alignment horizontal="center"/>
    </xf>
    <xf numFmtId="9" fontId="0" fillId="5" borderId="0" xfId="0" applyNumberFormat="1" applyFill="1" applyAlignment="1">
      <alignment horizontal="center"/>
    </xf>
    <xf numFmtId="164" fontId="0" fillId="5" borderId="0" xfId="1" applyNumberFormat="1" applyFont="1" applyFill="1" applyAlignment="1">
      <alignment horizontal="center"/>
    </xf>
    <xf numFmtId="9" fontId="2" fillId="5" borderId="0" xfId="1" applyFont="1" applyFill="1" applyAlignment="1">
      <alignment horizontal="center"/>
    </xf>
    <xf numFmtId="0" fontId="0" fillId="2" borderId="0" xfId="0" applyFill="1" applyAlignment="1">
      <alignment horizontal="center"/>
    </xf>
    <xf numFmtId="9" fontId="0" fillId="2" borderId="0" xfId="0" applyNumberFormat="1" applyFill="1" applyAlignment="1">
      <alignment horizontal="center"/>
    </xf>
    <xf numFmtId="9" fontId="0" fillId="2" borderId="0" xfId="1" applyFont="1" applyFill="1" applyAlignment="1">
      <alignment horizontal="center"/>
    </xf>
    <xf numFmtId="9" fontId="2" fillId="2" borderId="0" xfId="1" applyFont="1" applyFill="1" applyAlignment="1">
      <alignment horizontal="center"/>
    </xf>
    <xf numFmtId="0" fontId="0" fillId="2" borderId="0" xfId="0" applyFill="1"/>
    <xf numFmtId="0" fontId="0" fillId="6" borderId="0" xfId="0" applyFill="1" applyAlignment="1">
      <alignment horizontal="center"/>
    </xf>
    <xf numFmtId="9" fontId="0" fillId="6" borderId="0" xfId="0" applyNumberFormat="1" applyFill="1" applyAlignment="1">
      <alignment horizontal="center"/>
    </xf>
    <xf numFmtId="9" fontId="2" fillId="6" borderId="0" xfId="1" applyFont="1" applyFill="1" applyAlignment="1">
      <alignment horizontal="center"/>
    </xf>
    <xf numFmtId="164" fontId="0" fillId="4" borderId="0" xfId="0" applyNumberFormat="1" applyFill="1" applyAlignment="1">
      <alignment horizontal="center"/>
    </xf>
    <xf numFmtId="164" fontId="0" fillId="4" borderId="0" xfId="1" applyNumberFormat="1" applyFont="1" applyFill="1" applyAlignment="1">
      <alignment horizontal="center"/>
    </xf>
    <xf numFmtId="0" fontId="0" fillId="7" borderId="0" xfId="0" applyFill="1" applyAlignment="1">
      <alignment horizontal="center"/>
    </xf>
    <xf numFmtId="9" fontId="0" fillId="7" borderId="0" xfId="0" applyNumberFormat="1" applyFill="1" applyAlignment="1">
      <alignment horizontal="center"/>
    </xf>
    <xf numFmtId="9" fontId="0" fillId="7" borderId="0" xfId="1" applyFont="1" applyFill="1" applyAlignment="1">
      <alignment horizontal="center"/>
    </xf>
    <xf numFmtId="9" fontId="2" fillId="7" borderId="0" xfId="1" applyFont="1" applyFill="1" applyAlignment="1">
      <alignment horizontal="center"/>
    </xf>
    <xf numFmtId="0" fontId="0" fillId="7" borderId="0" xfId="0" applyFill="1"/>
    <xf numFmtId="0" fontId="0" fillId="8" borderId="0" xfId="0" applyFill="1"/>
    <xf numFmtId="0" fontId="0" fillId="8" borderId="0" xfId="0" applyFill="1" applyAlignment="1">
      <alignment horizontal="center"/>
    </xf>
    <xf numFmtId="9" fontId="0" fillId="8" borderId="0" xfId="0" applyNumberFormat="1" applyFill="1" applyAlignment="1">
      <alignment horizontal="center"/>
    </xf>
    <xf numFmtId="9" fontId="0" fillId="8" borderId="0" xfId="1" applyFont="1" applyFill="1" applyAlignment="1">
      <alignment horizontal="center"/>
    </xf>
    <xf numFmtId="9" fontId="2" fillId="8" borderId="0" xfId="1" applyFont="1" applyFill="1" applyAlignment="1">
      <alignment horizontal="center"/>
    </xf>
    <xf numFmtId="0" fontId="0" fillId="9" borderId="0" xfId="0" applyFill="1"/>
    <xf numFmtId="0" fontId="0" fillId="9" borderId="0" xfId="0" applyFill="1" applyAlignment="1">
      <alignment horizontal="center"/>
    </xf>
    <xf numFmtId="164" fontId="0" fillId="9" borderId="0" xfId="1" applyNumberFormat="1" applyFont="1" applyFill="1" applyAlignment="1">
      <alignment horizontal="center"/>
    </xf>
    <xf numFmtId="9" fontId="0" fillId="9" borderId="0" xfId="0" applyNumberFormat="1" applyFill="1" applyAlignment="1">
      <alignment horizontal="center"/>
    </xf>
    <xf numFmtId="9" fontId="2" fillId="9" borderId="0" xfId="1" applyFont="1" applyFill="1" applyAlignment="1">
      <alignment horizontal="center"/>
    </xf>
    <xf numFmtId="0" fontId="7" fillId="0" borderId="0" xfId="0" applyFont="1"/>
    <xf numFmtId="0" fontId="0" fillId="0" borderId="0" xfId="0" applyAlignment="1">
      <alignment wrapText="1"/>
    </xf>
    <xf numFmtId="0" fontId="2" fillId="6" borderId="0" xfId="0" applyFont="1" applyFill="1" applyAlignment="1">
      <alignment horizontal="center" wrapText="1"/>
    </xf>
    <xf numFmtId="0" fontId="2" fillId="5" borderId="0" xfId="0" applyFont="1" applyFill="1" applyAlignment="1">
      <alignment horizontal="center" wrapText="1"/>
    </xf>
    <xf numFmtId="0" fontId="2" fillId="2" borderId="0" xfId="0" applyFont="1" applyFill="1" applyAlignment="1">
      <alignment horizontal="center" wrapText="1"/>
    </xf>
    <xf numFmtId="0" fontId="2" fillId="4" borderId="0" xfId="0" applyFont="1" applyFill="1" applyAlignment="1">
      <alignment horizontal="center" wrapText="1"/>
    </xf>
    <xf numFmtId="0" fontId="2" fillId="7" borderId="0" xfId="0" applyFont="1" applyFill="1" applyAlignment="1">
      <alignment horizontal="center" wrapText="1"/>
    </xf>
    <xf numFmtId="0" fontId="2" fillId="8" borderId="0" xfId="0" applyFont="1" applyFill="1" applyAlignment="1">
      <alignment horizontal="center" wrapText="1"/>
    </xf>
    <xf numFmtId="0" fontId="2" fillId="9" borderId="0" xfId="0" applyFont="1" applyFill="1" applyAlignment="1">
      <alignment horizontal="center" wrapText="1"/>
    </xf>
    <xf numFmtId="0" fontId="0" fillId="0" borderId="0" xfId="0" applyAlignment="1">
      <alignment vertical="center"/>
    </xf>
    <xf numFmtId="0" fontId="0" fillId="0" borderId="0" xfId="0" applyAlignment="1">
      <alignment horizontal="center" vertical="center" wrapText="1"/>
    </xf>
    <xf numFmtId="0" fontId="8" fillId="9" borderId="0" xfId="0" applyFont="1" applyFill="1" applyAlignment="1">
      <alignment horizontal="center"/>
    </xf>
    <xf numFmtId="0" fontId="8" fillId="6" borderId="0" xfId="0" applyFont="1" applyFill="1" applyAlignment="1">
      <alignment horizontal="center"/>
    </xf>
    <xf numFmtId="0" fontId="8" fillId="5" borderId="0" xfId="0" applyFont="1" applyFill="1" applyAlignment="1">
      <alignment horizontal="center"/>
    </xf>
    <xf numFmtId="0" fontId="8" fillId="2" borderId="0" xfId="0" applyFont="1" applyFill="1" applyAlignment="1">
      <alignment horizontal="center"/>
    </xf>
    <xf numFmtId="0" fontId="8" fillId="8" borderId="0" xfId="0" applyFont="1" applyFill="1" applyAlignment="1">
      <alignment horizontal="center"/>
    </xf>
    <xf numFmtId="0" fontId="8" fillId="4" borderId="0" xfId="0" applyFont="1" applyFill="1" applyAlignment="1">
      <alignment horizontal="center"/>
    </xf>
    <xf numFmtId="0" fontId="8" fillId="7" borderId="0" xfId="0" applyFont="1" applyFill="1" applyAlignment="1">
      <alignment horizontal="center"/>
    </xf>
    <xf numFmtId="0" fontId="4" fillId="3" borderId="0" xfId="0" applyFont="1" applyFill="1" applyAlignment="1">
      <alignment horizontal="center"/>
    </xf>
    <xf numFmtId="0" fontId="4" fillId="0" borderId="0" xfId="0" applyFont="1" applyAlignment="1">
      <alignment horizontal="center"/>
    </xf>
  </cellXfs>
  <cellStyles count="2">
    <cellStyle name="Normal" xfId="0" builtinId="0"/>
    <cellStyle name="Prosent" xfId="1" builtinId="5"/>
  </cellStyles>
  <dxfs count="0"/>
  <tableStyles count="0" defaultTableStyle="TableStyleMedium2" defaultPivotStyle="PivotStyleLight16"/>
  <colors>
    <mruColors>
      <color rgb="FFB8E08C"/>
      <color rgb="FFDAEFC3"/>
      <color rgb="FFFFFFFF"/>
      <color rgb="FF0D2841"/>
      <color rgb="FFC0C0C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'Definerte porteføljer'!$D$5</c:f>
              <c:strCache>
                <c:ptCount val="1"/>
                <c:pt idx="0">
                  <c:v>Allokering 1 (Kjerne)</c:v>
                </c:pt>
              </c:strCache>
            </c:strRef>
          </c:tx>
          <c:dPt>
            <c:idx val="0"/>
            <c:bubble3D val="0"/>
            <c:spPr>
              <a:solidFill>
                <a:srgbClr val="000000">
                  <a:alpha val="60000"/>
                </a:srgbClr>
              </a:solidFill>
              <a:ln w="19050">
                <a:solidFill>
                  <a:schemeClr val="lt1"/>
                </a:solidFill>
              </a:ln>
              <a:effectLst/>
            </c:spPr>
            <c:extLst>
              <c:ext xmlns:c16="http://schemas.microsoft.com/office/drawing/2014/chart" uri="{C3380CC4-5D6E-409C-BE32-E72D297353CC}">
                <c16:uniqueId val="{00000005-E35E-4B17-B6DE-EFDD9C68852A}"/>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E35E-4B17-B6DE-EFDD9C6885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524A-4C16-BD9E-4024C6AE63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3-E35E-4B17-B6DE-EFDD9C68852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5-E35E-4B17-B6DE-EFDD9C68852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7-3411-42B0-BA53-F41D7E965EB8}"/>
              </c:ext>
            </c:extLst>
          </c:dPt>
          <c:dLbls>
            <c:dLbl>
              <c:idx val="0"/>
              <c:layout>
                <c:manualLayout>
                  <c:x val="-0.13095238095238096"/>
                  <c:y val="-4.474271354340800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35E-4B17-B6DE-EFDD9C68852A}"/>
                </c:ext>
              </c:extLst>
            </c:dLbl>
            <c:dLbl>
              <c:idx val="1"/>
              <c:layout>
                <c:manualLayout>
                  <c:x val="2.7777777777777742E-2"/>
                  <c:y val="-0.1431766833389057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35E-4B17-B6DE-EFDD9C68852A}"/>
                </c:ext>
              </c:extLst>
            </c:dLbl>
            <c:dLbl>
              <c:idx val="3"/>
              <c:layout>
                <c:manualLayout>
                  <c:x val="5.5555555555555552E-2"/>
                  <c:y val="9.3959698441156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E35E-4B17-B6DE-EFDD9C6885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nb-N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ullRef>
                    <c15:sqref>'Definerte porteføljer'!$B$6:$B$19</c15:sqref>
                  </c15:fullRef>
                </c:ext>
              </c:extLst>
              <c:f>('Definerte porteføljer'!$B$8:$B$9,'Definerte porteføljer'!$B$14:$B$17)</c:f>
              <c:strCache>
                <c:ptCount val="6"/>
                <c:pt idx="0">
                  <c:v>Core Active</c:v>
                </c:pt>
                <c:pt idx="1">
                  <c:v>Edge</c:v>
                </c:pt>
                <c:pt idx="2">
                  <c:v>Kairos</c:v>
                </c:pt>
                <c:pt idx="3">
                  <c:v>Norge</c:v>
                </c:pt>
                <c:pt idx="4">
                  <c:v>Global Energy</c:v>
                </c:pt>
                <c:pt idx="5">
                  <c:v>Nordic Banking</c:v>
                </c:pt>
              </c:strCache>
            </c:strRef>
          </c:cat>
          <c:val>
            <c:numRef>
              <c:extLst>
                <c:ext xmlns:c15="http://schemas.microsoft.com/office/drawing/2012/chart" uri="{02D57815-91ED-43cb-92C2-25804820EDAC}">
                  <c15:fullRef>
                    <c15:sqref>'Definerte porteføljer'!$D$6:$D$19</c15:sqref>
                  </c15:fullRef>
                </c:ext>
              </c:extLst>
              <c:f>('Definerte porteføljer'!$D$8:$D$9,'Definerte porteføljer'!$D$14:$D$17)</c:f>
              <c:numCache>
                <c:formatCode>General</c:formatCode>
                <c:ptCount val="6"/>
                <c:pt idx="0" formatCode="0%">
                  <c:v>0.4</c:v>
                </c:pt>
                <c:pt idx="1" formatCode="0%">
                  <c:v>0.4</c:v>
                </c:pt>
                <c:pt idx="3" formatCode="0%">
                  <c:v>0.2</c:v>
                </c:pt>
              </c:numCache>
            </c:numRef>
          </c:val>
          <c:extLst>
            <c:ext xmlns:c15="http://schemas.microsoft.com/office/drawing/2012/chart" uri="{02D57815-91ED-43cb-92C2-25804820EDAC}">
              <c15:categoryFilterExceptions>
                <c15:categoryFilterException>
                  <c15:sqref>'Definerte porteføljer'!$D$6</c15:sqref>
                  <c15:spPr xmlns:c15="http://schemas.microsoft.com/office/drawing/2012/chart">
                    <a:solidFill>
                      <a:schemeClr val="accent1"/>
                    </a:solidFill>
                    <a:ln w="19050">
                      <a:solidFill>
                        <a:schemeClr val="lt1"/>
                      </a:solidFill>
                    </a:ln>
                    <a:effectLst/>
                  </c15:spPr>
                  <c15:bubble3D val="0"/>
                </c15:categoryFilterException>
                <c15:categoryFilterException>
                  <c15:sqref>'Definerte porteføljer'!$D$7</c15:sqref>
                  <c15:spPr xmlns:c15="http://schemas.microsoft.com/office/drawing/2012/chart">
                    <a:solidFill>
                      <a:schemeClr val="accent2"/>
                    </a:solidFill>
                    <a:ln w="19050">
                      <a:solidFill>
                        <a:schemeClr val="lt1"/>
                      </a:solidFill>
                    </a:ln>
                    <a:effectLst/>
                  </c15:spPr>
                  <c15:bubble3D val="0"/>
                </c15:categoryFilterException>
                <c15:categoryFilterException>
                  <c15:sqref>'Definerte porteføljer'!$D$10</c15:sqref>
                  <c15:spPr xmlns:c15="http://schemas.microsoft.com/office/drawing/2012/chart">
                    <a:solidFill>
                      <a:schemeClr val="accent5"/>
                    </a:solidFill>
                    <a:ln w="19050">
                      <a:solidFill>
                        <a:schemeClr val="lt1"/>
                      </a:solidFill>
                    </a:ln>
                    <a:effectLst/>
                  </c15:spPr>
                  <c15:bubble3D val="0"/>
                </c15:categoryFilterException>
                <c15:categoryFilterException>
                  <c15:sqref>'Definerte porteføljer'!$D$11</c15:sqref>
                  <c15:spPr xmlns:c15="http://schemas.microsoft.com/office/drawing/2012/chart">
                    <a:solidFill>
                      <a:schemeClr val="accent6"/>
                    </a:solidFill>
                    <a:ln w="19050">
                      <a:solidFill>
                        <a:schemeClr val="lt1"/>
                      </a:solidFill>
                    </a:ln>
                    <a:effectLst/>
                  </c15:spPr>
                  <c15:bubble3D val="0"/>
                </c15:categoryFilterException>
                <c15:categoryFilterException>
                  <c15:sqref>'Definerte porteføljer'!$D$12</c15:sqref>
                  <c15:spPr xmlns:c15="http://schemas.microsoft.com/office/drawing/2012/chart">
                    <a:solidFill>
                      <a:schemeClr val="accent1">
                        <a:lumMod val="60000"/>
                      </a:schemeClr>
                    </a:solidFill>
                    <a:ln w="19050">
                      <a:solidFill>
                        <a:schemeClr val="lt1"/>
                      </a:solidFill>
                    </a:ln>
                    <a:effectLst/>
                  </c15:spPr>
                  <c15:bubble3D val="0"/>
                </c15:categoryFilterException>
                <c15:categoryFilterException>
                  <c15:sqref>'Definerte porteføljer'!$D$13</c15:sqref>
                  <c15:spPr xmlns:c15="http://schemas.microsoft.com/office/drawing/2012/chart">
                    <a:solidFill>
                      <a:schemeClr val="accent2">
                        <a:lumMod val="60000"/>
                      </a:schemeClr>
                    </a:solidFill>
                    <a:ln w="19050">
                      <a:solidFill>
                        <a:schemeClr val="lt1"/>
                      </a:solidFill>
                    </a:ln>
                    <a:effectLst/>
                  </c15:spPr>
                  <c15:bubble3D val="0"/>
                </c15:categoryFilterException>
                <c15:categoryFilterException>
                  <c15:sqref>'Definerte porteføljer'!$D$18</c15:sqref>
                  <c15:spPr xmlns:c15="http://schemas.microsoft.com/office/drawing/2012/chart">
                    <a:solidFill>
                      <a:schemeClr val="accent6">
                        <a:lumMod val="60000"/>
                      </a:schemeClr>
                    </a:solidFill>
                    <a:ln w="19050">
                      <a:solidFill>
                        <a:schemeClr val="lt1"/>
                      </a:solidFill>
                    </a:ln>
                    <a:effectLst/>
                  </c15:spPr>
                  <c15:bubble3D val="0"/>
                </c15:categoryFilterException>
                <c15:categoryFilterException>
                  <c15:sqref>'Definerte porteføljer'!$D$19</c15:sqref>
                  <c15:spPr xmlns:c15="http://schemas.microsoft.com/office/drawing/2012/chart">
                    <a:solidFill>
                      <a:schemeClr val="accent1">
                        <a:lumMod val="80000"/>
                        <a:lumOff val="20000"/>
                      </a:schemeClr>
                    </a:solidFill>
                    <a:ln w="19050">
                      <a:solidFill>
                        <a:schemeClr val="lt1"/>
                      </a:solidFill>
                    </a:ln>
                    <a:effectLst/>
                  </c15:spPr>
                </c15:categoryFilterException>
              </c15:categoryFilterExceptions>
            </c:ext>
            <c:ext xmlns:c16="http://schemas.microsoft.com/office/drawing/2014/chart" uri="{C3380CC4-5D6E-409C-BE32-E72D297353CC}">
              <c16:uniqueId val="{0000001A-E35E-4B17-B6DE-EFDD9C68852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nb-N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244179307030067"/>
          <c:y val="0.12887105240877147"/>
          <c:w val="0.63471126252844967"/>
          <c:h val="0.76028854457708916"/>
        </c:manualLayout>
      </c:layout>
      <c:pieChart>
        <c:varyColors val="1"/>
        <c:ser>
          <c:idx val="0"/>
          <c:order val="0"/>
          <c:tx>
            <c:strRef>
              <c:f>'Definerte porteføljer'!$E$5</c:f>
              <c:strCache>
                <c:ptCount val="1"/>
                <c:pt idx="0">
                  <c:v>Allokering 2 (Kjerne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74-49F9-8C58-23305E61A8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74-49F9-8C58-23305E61A83A}"/>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2F74-49F9-8C58-23305E61A83A}"/>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2F74-49F9-8C58-23305E61A83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F74-49F9-8C58-23305E61A83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F74-49F9-8C58-23305E61A83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F74-49F9-8C58-23305E61A83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F74-49F9-8C58-23305E61A83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F74-49F9-8C58-23305E61A83A}"/>
              </c:ext>
            </c:extLst>
          </c:dPt>
          <c:dPt>
            <c:idx val="9"/>
            <c:bubble3D val="0"/>
            <c:spPr>
              <a:solidFill>
                <a:schemeClr val="accent6">
                  <a:lumMod val="65000"/>
                </a:schemeClr>
              </a:solidFill>
              <a:ln w="19050">
                <a:solidFill>
                  <a:schemeClr val="lt1"/>
                </a:solidFill>
              </a:ln>
              <a:effectLst/>
            </c:spPr>
            <c:extLst>
              <c:ext xmlns:c16="http://schemas.microsoft.com/office/drawing/2014/chart" uri="{C3380CC4-5D6E-409C-BE32-E72D297353CC}">
                <c16:uniqueId val="{00000013-2F74-49F9-8C58-23305E61A83A}"/>
              </c:ext>
            </c:extLst>
          </c:dPt>
          <c:dPt>
            <c:idx val="10"/>
            <c:bubble3D val="0"/>
            <c:spPr>
              <a:solidFill>
                <a:schemeClr val="tx2">
                  <a:alpha val="60000"/>
                </a:schemeClr>
              </a:solidFill>
              <a:ln w="19050">
                <a:solidFill>
                  <a:schemeClr val="lt1"/>
                </a:solidFill>
              </a:ln>
              <a:effectLst/>
            </c:spPr>
            <c:extLst>
              <c:ext xmlns:c16="http://schemas.microsoft.com/office/drawing/2014/chart" uri="{C3380CC4-5D6E-409C-BE32-E72D297353CC}">
                <c16:uniqueId val="{00000015-2F74-49F9-8C58-23305E61A83A}"/>
              </c:ext>
            </c:extLst>
          </c:dPt>
          <c:dPt>
            <c:idx val="11"/>
            <c:bubble3D val="0"/>
            <c:spPr>
              <a:solidFill>
                <a:schemeClr val="accent6">
                  <a:lumMod val="85000"/>
                </a:schemeClr>
              </a:solidFill>
              <a:ln w="19050">
                <a:solidFill>
                  <a:schemeClr val="lt1"/>
                </a:solidFill>
              </a:ln>
              <a:effectLst/>
            </c:spPr>
            <c:extLst>
              <c:ext xmlns:c16="http://schemas.microsoft.com/office/drawing/2014/chart" uri="{C3380CC4-5D6E-409C-BE32-E72D297353CC}">
                <c16:uniqueId val="{00000017-2F74-49F9-8C58-23305E61A83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F74-49F9-8C58-23305E61A83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3748-486C-8336-81DECC4942E1}"/>
              </c:ext>
            </c:extLst>
          </c:dPt>
          <c:dLbls>
            <c:dLbl>
              <c:idx val="2"/>
              <c:layout>
                <c:manualLayout>
                  <c:x val="-6.1538461538461639E-2"/>
                  <c:y val="2.38095238095238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F74-49F9-8C58-23305E61A83A}"/>
                </c:ext>
              </c:extLst>
            </c:dLbl>
            <c:dLbl>
              <c:idx val="3"/>
              <c:layout>
                <c:manualLayout>
                  <c:x val="-1.0702341137123745E-2"/>
                  <c:y val="-5.44217687074831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2F74-49F9-8C58-23305E61A83A}"/>
                </c:ext>
              </c:extLst>
            </c:dLbl>
            <c:dLbl>
              <c:idx val="8"/>
              <c:layout>
                <c:manualLayout>
                  <c:x val="-1.7186948621388881E-3"/>
                  <c:y val="6.198028817826343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2F74-49F9-8C58-23305E61A83A}"/>
                </c:ext>
              </c:extLst>
            </c:dLbl>
            <c:dLbl>
              <c:idx val="9"/>
              <c:layout>
                <c:manualLayout>
                  <c:x val="3.2924656993126696E-2"/>
                  <c:y val="6.6125662863570625E-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2F74-49F9-8C58-23305E61A83A}"/>
                </c:ext>
              </c:extLst>
            </c:dLbl>
            <c:dLbl>
              <c:idx val="10"/>
              <c:layout>
                <c:manualLayout>
                  <c:x val="5.8993495378295109E-3"/>
                  <c:y val="8.276635063474202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2F74-49F9-8C58-23305E61A83A}"/>
                </c:ext>
              </c:extLst>
            </c:dLbl>
            <c:dLbl>
              <c:idx val="11"/>
              <c:layout>
                <c:manualLayout>
                  <c:x val="0.18406129852384981"/>
                  <c:y val="9.4208038120306453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567508729272398"/>
                      <c:h val="0.20666836000338665"/>
                    </c:manualLayout>
                  </c15:layout>
                </c:ext>
                <c:ext xmlns:c16="http://schemas.microsoft.com/office/drawing/2014/chart" uri="{C3380CC4-5D6E-409C-BE32-E72D297353CC}">
                  <c16:uniqueId val="{00000017-2F74-49F9-8C58-23305E61A83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nb-N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porteføljer'!$E$6:$E$19</c:f>
              <c:numCache>
                <c:formatCode>General</c:formatCode>
                <c:ptCount val="14"/>
                <c:pt idx="2" formatCode="0%">
                  <c:v>0.3</c:v>
                </c:pt>
                <c:pt idx="3" formatCode="0%">
                  <c:v>0.3</c:v>
                </c:pt>
                <c:pt idx="8" formatCode="0%">
                  <c:v>0.1</c:v>
                </c:pt>
                <c:pt idx="9" formatCode="0%">
                  <c:v>0.15</c:v>
                </c:pt>
                <c:pt idx="10" formatCode="0%">
                  <c:v>0.05</c:v>
                </c:pt>
                <c:pt idx="11" formatCode="0%">
                  <c:v>0.1</c:v>
                </c:pt>
              </c:numCache>
            </c:numRef>
          </c:val>
          <c:extLst>
            <c:ext xmlns:c16="http://schemas.microsoft.com/office/drawing/2014/chart" uri="{C3380CC4-5D6E-409C-BE32-E72D297353CC}">
              <c16:uniqueId val="{0000001A-2F74-49F9-8C58-23305E61A83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nb-N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02590877857009"/>
          <c:y val="5.7584452752159537E-2"/>
          <c:w val="0.76996001036351147"/>
          <c:h val="0.94241554724784049"/>
        </c:manualLayout>
      </c:layout>
      <c:pieChart>
        <c:varyColors val="1"/>
        <c:ser>
          <c:idx val="0"/>
          <c:order val="0"/>
          <c:tx>
            <c:strRef>
              <c:f>'Definerte porteføljer'!$F$5</c:f>
              <c:strCache>
                <c:ptCount val="1"/>
                <c:pt idx="0">
                  <c:v>Allokering 3 (Kjerne ++)</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55-45FD-B3F9-9F98C803D2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55-45FD-B3F9-9F98C803D253}"/>
              </c:ext>
            </c:extLst>
          </c:dPt>
          <c:dPt>
            <c:idx val="2"/>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5-7755-45FD-B3F9-9F98C803D253}"/>
              </c:ext>
            </c:extLst>
          </c:dPt>
          <c:dPt>
            <c:idx val="3"/>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7-7755-45FD-B3F9-9F98C803D2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55-45FD-B3F9-9F98C803D25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55-45FD-B3F9-9F98C803D25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55-45FD-B3F9-9F98C803D25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55-45FD-B3F9-9F98C803D25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55-45FD-B3F9-9F98C803D253}"/>
              </c:ext>
            </c:extLst>
          </c:dPt>
          <c:dPt>
            <c:idx val="9"/>
            <c:bubble3D val="0"/>
            <c:spPr>
              <a:solidFill>
                <a:schemeClr val="accent6">
                  <a:lumMod val="65000"/>
                </a:schemeClr>
              </a:solidFill>
              <a:ln w="19050">
                <a:solidFill>
                  <a:schemeClr val="lt1"/>
                </a:solidFill>
              </a:ln>
              <a:effectLst/>
            </c:spPr>
            <c:extLst>
              <c:ext xmlns:c16="http://schemas.microsoft.com/office/drawing/2014/chart" uri="{C3380CC4-5D6E-409C-BE32-E72D297353CC}">
                <c16:uniqueId val="{00000013-7755-45FD-B3F9-9F98C803D253}"/>
              </c:ext>
            </c:extLst>
          </c:dPt>
          <c:dPt>
            <c:idx val="10"/>
            <c:bubble3D val="0"/>
            <c:spPr>
              <a:solidFill>
                <a:srgbClr val="0D2841">
                  <a:alpha val="60000"/>
                </a:srgbClr>
              </a:solidFill>
              <a:ln w="19050">
                <a:solidFill>
                  <a:schemeClr val="lt1"/>
                </a:solidFill>
              </a:ln>
              <a:effectLst/>
            </c:spPr>
            <c:extLst>
              <c:ext xmlns:c16="http://schemas.microsoft.com/office/drawing/2014/chart" uri="{C3380CC4-5D6E-409C-BE32-E72D297353CC}">
                <c16:uniqueId val="{00000015-7755-45FD-B3F9-9F98C803D253}"/>
              </c:ext>
            </c:extLst>
          </c:dPt>
          <c:dPt>
            <c:idx val="11"/>
            <c:bubble3D val="0"/>
            <c:spPr>
              <a:solidFill>
                <a:schemeClr val="accent6">
                  <a:lumMod val="85000"/>
                </a:schemeClr>
              </a:solidFill>
              <a:ln w="19050">
                <a:solidFill>
                  <a:schemeClr val="lt1"/>
                </a:solidFill>
              </a:ln>
              <a:effectLst/>
            </c:spPr>
            <c:extLst>
              <c:ext xmlns:c16="http://schemas.microsoft.com/office/drawing/2014/chart" uri="{C3380CC4-5D6E-409C-BE32-E72D297353CC}">
                <c16:uniqueId val="{00000017-7755-45FD-B3F9-9F98C803D25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755-45FD-B3F9-9F98C803D25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3B2-4795-87E0-C0D204DAC19D}"/>
              </c:ext>
            </c:extLst>
          </c:dPt>
          <c:dLbls>
            <c:dLbl>
              <c:idx val="2"/>
              <c:layout>
                <c:manualLayout>
                  <c:x val="-1.7167381974248927E-2"/>
                  <c:y val="4.186489058039958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755-45FD-B3F9-9F98C803D253}"/>
                </c:ext>
              </c:extLst>
            </c:dLbl>
            <c:dLbl>
              <c:idx val="11"/>
              <c:layout>
                <c:manualLayout>
                  <c:x val="5.7774001699235342E-2"/>
                  <c:y val="7.251908396946564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7755-45FD-B3F9-9F98C803D253}"/>
                </c:ext>
              </c:extLst>
            </c:dLbl>
            <c:spPr>
              <a:solidFill>
                <a:srgbClr val="F5F5F5"/>
              </a:solidFill>
              <a:ln>
                <a:solidFill>
                  <a:srgbClr val="C0C0C0"/>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nb-N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porteføljer'!$F$6:$F$19</c:f>
              <c:numCache>
                <c:formatCode>General</c:formatCode>
                <c:ptCount val="14"/>
                <c:pt idx="2" formatCode="0%">
                  <c:v>0.2</c:v>
                </c:pt>
                <c:pt idx="3" formatCode="0%">
                  <c:v>0.2</c:v>
                </c:pt>
                <c:pt idx="8" formatCode="0%">
                  <c:v>0.2</c:v>
                </c:pt>
                <c:pt idx="9" formatCode="0%">
                  <c:v>0.15</c:v>
                </c:pt>
                <c:pt idx="10" formatCode="0%">
                  <c:v>0.1</c:v>
                </c:pt>
                <c:pt idx="11" formatCode="0%">
                  <c:v>0.15</c:v>
                </c:pt>
              </c:numCache>
            </c:numRef>
          </c:val>
          <c:extLst>
            <c:ext xmlns:c16="http://schemas.microsoft.com/office/drawing/2014/chart" uri="{C3380CC4-5D6E-409C-BE32-E72D297353CC}">
              <c16:uniqueId val="{0000001A-7755-45FD-B3F9-9F98C803D25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lgn="ctr">
        <a:defRPr lang="en-US" sz="900" b="0" i="0" u="none" strike="noStrike" kern="1200" baseline="0">
          <a:solidFill>
            <a:schemeClr val="tx1"/>
          </a:solidFill>
          <a:latin typeface="+mn-lt"/>
          <a:ea typeface="+mn-ea"/>
          <a:cs typeface="+mn-cs"/>
        </a:defRPr>
      </a:pPr>
      <a:endParaRPr lang="nb-N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'Definerte porteføljer'!$H$5</c:f>
              <c:strCache>
                <c:ptCount val="1"/>
                <c:pt idx="0">
                  <c:v>Allokering 2 (Kjerne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0D-47B4-A1FA-54EB515EDC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0D-47B4-A1FA-54EB515EDC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0D-47B4-A1FA-54EB515EDC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0D-47B4-A1FA-54EB515EDC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00D-47B4-A1FA-54EB515EDC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00D-47B4-A1FA-54EB515EDC2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00D-47B4-A1FA-54EB515EDC2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00D-47B4-A1FA-54EB515EDC2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900D-47B4-A1FA-54EB515EDC2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900D-47B4-A1FA-54EB515EDC2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900D-47B4-A1FA-54EB515EDC2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900D-47B4-A1FA-54EB515EDC2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900D-47B4-A1FA-54EB515EDC2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749-4F10-80FF-28252CB81337}"/>
              </c:ext>
            </c:extLst>
          </c:dPt>
          <c:dLbls>
            <c:dLbl>
              <c:idx val="9"/>
              <c:layout>
                <c:manualLayout>
                  <c:x val="-4.1279669762641948E-3"/>
                  <c:y val="4.750593824228028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900D-47B4-A1FA-54EB515EDC27}"/>
                </c:ext>
              </c:extLst>
            </c:dLbl>
            <c:dLbl>
              <c:idx val="10"/>
              <c:layout>
                <c:manualLayout>
                  <c:x val="0"/>
                  <c:y val="3.8004750593824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900D-47B4-A1FA-54EB515EDC27}"/>
                </c:ext>
              </c:extLst>
            </c:dLbl>
            <c:dLbl>
              <c:idx val="12"/>
              <c:layout>
                <c:manualLayout>
                  <c:x val="7.4303405572755415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9-900D-47B4-A1FA-54EB515EDC27}"/>
                </c:ext>
              </c:extLst>
            </c:dLbl>
            <c:dLbl>
              <c:idx val="13"/>
              <c:layout>
                <c:manualLayout>
                  <c:x val="0.16924664602683179"/>
                  <c:y val="4.7505938242280287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9833987469832524"/>
                      <c:h val="0.22459498382179663"/>
                    </c:manualLayout>
                  </c15:layout>
                </c:ext>
                <c:ext xmlns:c16="http://schemas.microsoft.com/office/drawing/2014/chart" uri="{C3380CC4-5D6E-409C-BE32-E72D297353CC}">
                  <c16:uniqueId val="{0000001B-A749-4F10-80FF-28252CB8133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nb-N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porteføljer'!$H$6:$H$19</c:f>
              <c:numCache>
                <c:formatCode>0%</c:formatCode>
                <c:ptCount val="14"/>
                <c:pt idx="1">
                  <c:v>0.3</c:v>
                </c:pt>
                <c:pt idx="2">
                  <c:v>0.1</c:v>
                </c:pt>
                <c:pt idx="3">
                  <c:v>0.1</c:v>
                </c:pt>
                <c:pt idx="4">
                  <c:v>0.1</c:v>
                </c:pt>
                <c:pt idx="8">
                  <c:v>0.05</c:v>
                </c:pt>
                <c:pt idx="9">
                  <c:v>0.15</c:v>
                </c:pt>
                <c:pt idx="10">
                  <c:v>0.05</c:v>
                </c:pt>
                <c:pt idx="11">
                  <c:v>0.05</c:v>
                </c:pt>
                <c:pt idx="12">
                  <c:v>0.05</c:v>
                </c:pt>
                <c:pt idx="13">
                  <c:v>0.05</c:v>
                </c:pt>
              </c:numCache>
            </c:numRef>
          </c:val>
          <c:extLst>
            <c:ext xmlns:c16="http://schemas.microsoft.com/office/drawing/2014/chart" uri="{C3380CC4-5D6E-409C-BE32-E72D297353CC}">
              <c16:uniqueId val="{0000001A-900D-47B4-A1FA-54EB515EDC2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nb-N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'Definerte porteføljer'!$I$5</c:f>
              <c:strCache>
                <c:ptCount val="1"/>
                <c:pt idx="0">
                  <c:v>Allokering 3 (Kjerne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E0-40C5-9817-3877322842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E0-40C5-9817-3877322842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E0-40C5-9817-3877322842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E0-40C5-9817-38773228429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E0-40C5-9817-38773228429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2E0-40C5-9817-3877322842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2E0-40C5-9817-3877322842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2E0-40C5-9817-38773228429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2E0-40C5-9817-38773228429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2E0-40C5-9817-38773228429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2E0-40C5-9817-38773228429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2E0-40C5-9817-387732284297}"/>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2E0-40C5-9817-387732284297}"/>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3A9-4EA1-BE72-E4C8C69D6CF0}"/>
              </c:ext>
            </c:extLst>
          </c:dPt>
          <c:dLbls>
            <c:dLbl>
              <c:idx val="13"/>
              <c:layout>
                <c:manualLayout>
                  <c:x val="0.13182286302780638"/>
                  <c:y val="3.325415676959619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593340739719584"/>
                      <c:h val="0.22459498382179663"/>
                    </c:manualLayout>
                  </c15:layout>
                </c:ext>
                <c:ext xmlns:c16="http://schemas.microsoft.com/office/drawing/2014/chart" uri="{C3380CC4-5D6E-409C-BE32-E72D297353CC}">
                  <c16:uniqueId val="{0000001B-03A9-4EA1-BE72-E4C8C69D6CF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nb-N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porteføljer'!$I$6:$I$19</c:f>
              <c:numCache>
                <c:formatCode>0%</c:formatCode>
                <c:ptCount val="14"/>
                <c:pt idx="1">
                  <c:v>0.2</c:v>
                </c:pt>
                <c:pt idx="2">
                  <c:v>0.1</c:v>
                </c:pt>
                <c:pt idx="3">
                  <c:v>0.1</c:v>
                </c:pt>
                <c:pt idx="4">
                  <c:v>0.05</c:v>
                </c:pt>
                <c:pt idx="8">
                  <c:v>0.1</c:v>
                </c:pt>
                <c:pt idx="9">
                  <c:v>0.1</c:v>
                </c:pt>
                <c:pt idx="10">
                  <c:v>0.1</c:v>
                </c:pt>
                <c:pt idx="11">
                  <c:v>0.1</c:v>
                </c:pt>
                <c:pt idx="12">
                  <c:v>0.05</c:v>
                </c:pt>
                <c:pt idx="13">
                  <c:v>0.1</c:v>
                </c:pt>
              </c:numCache>
            </c:numRef>
          </c:val>
          <c:extLst>
            <c:ext xmlns:c16="http://schemas.microsoft.com/office/drawing/2014/chart" uri="{C3380CC4-5D6E-409C-BE32-E72D297353CC}">
              <c16:uniqueId val="{0000001A-42E0-40C5-9817-38773228429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nb-N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'Definerte porteføljer'!$G$5</c:f>
              <c:strCache>
                <c:ptCount val="1"/>
                <c:pt idx="0">
                  <c:v>Allokering 1 (Kjerne)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9F-42BD-B47F-35150B5058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9F-42BD-B47F-35150B5058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9F-42BD-B47F-35150B5058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9F-42BD-B47F-35150B50584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9F-42BD-B47F-35150B50584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9F-42BD-B47F-35150B50584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9F-42BD-B47F-35150B50584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99F-42BD-B47F-35150B50584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99F-42BD-B47F-35150B50584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99F-42BD-B47F-35150B50584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99F-42BD-B47F-35150B50584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99F-42BD-B47F-35150B50584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99F-42BD-B47F-35150B50584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31E-4FB1-ACE6-8E2409A353C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nb-N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porteføljer'!$G$6:$G$19</c:f>
              <c:numCache>
                <c:formatCode>0.0\ %</c:formatCode>
                <c:ptCount val="14"/>
                <c:pt idx="1">
                  <c:v>0.4</c:v>
                </c:pt>
                <c:pt idx="2">
                  <c:v>0.17499999999999999</c:v>
                </c:pt>
                <c:pt idx="3">
                  <c:v>0.17499999999999999</c:v>
                </c:pt>
                <c:pt idx="4">
                  <c:v>0.1</c:v>
                </c:pt>
                <c:pt idx="9">
                  <c:v>0.15</c:v>
                </c:pt>
              </c:numCache>
            </c:numRef>
          </c:val>
          <c:extLst>
            <c:ext xmlns:c16="http://schemas.microsoft.com/office/drawing/2014/chart" uri="{C3380CC4-5D6E-409C-BE32-E72D297353CC}">
              <c16:uniqueId val="{0000001A-199F-42BD-B47F-35150B50584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nb-N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'Definerte porteføljer'!$K$5</c:f>
              <c:strCache>
                <c:ptCount val="1"/>
                <c:pt idx="0">
                  <c:v>Allokering 2 (Kjerne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38-46A9-AA3E-3D350BFAF9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38-46A9-AA3E-3D350BFAF9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38-46A9-AA3E-3D350BFAF97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38-46A9-AA3E-3D350BFAF97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F38-46A9-AA3E-3D350BFAF97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F38-46A9-AA3E-3D350BFAF97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F38-46A9-AA3E-3D350BFAF97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F38-46A9-AA3E-3D350BFAF97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F38-46A9-AA3E-3D350BFAF97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F38-46A9-AA3E-3D350BFAF97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F38-46A9-AA3E-3D350BFAF97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F38-46A9-AA3E-3D350BFAF97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F38-46A9-AA3E-3D350BFAF97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A-0589-4328-BB2D-CC926B0885BB}"/>
              </c:ext>
            </c:extLst>
          </c:dPt>
          <c:dLbls>
            <c:dLbl>
              <c:idx val="9"/>
              <c:layout>
                <c:manualLayout>
                  <c:x val="5.5658971421142005E-2"/>
                  <c:y val="4.097069220266706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1F38-46A9-AA3E-3D350BFAF973}"/>
                </c:ext>
              </c:extLst>
            </c:dLbl>
            <c:dLbl>
              <c:idx val="10"/>
              <c:layout>
                <c:manualLayout>
                  <c:x val="-2.0708417639745517E-2"/>
                  <c:y val="-2.9148820767950323E-3"/>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7798265928833196"/>
                      <c:h val="0.17190005049843826"/>
                    </c:manualLayout>
                  </c15:layout>
                </c:ext>
                <c:ext xmlns:c16="http://schemas.microsoft.com/office/drawing/2014/chart" uri="{C3380CC4-5D6E-409C-BE32-E72D297353CC}">
                  <c16:uniqueId val="{00000015-1F38-46A9-AA3E-3D350BFAF973}"/>
                </c:ext>
              </c:extLst>
            </c:dLbl>
            <c:dLbl>
              <c:idx val="11"/>
              <c:layout>
                <c:manualLayout>
                  <c:x val="7.1040036404118212E-2"/>
                  <c:y val="2.8530308414536049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6373694774221337"/>
                      <c:h val="0.17190005049843826"/>
                    </c:manualLayout>
                  </c15:layout>
                </c:ext>
                <c:ext xmlns:c16="http://schemas.microsoft.com/office/drawing/2014/chart" uri="{C3380CC4-5D6E-409C-BE32-E72D297353CC}">
                  <c16:uniqueId val="{00000017-1F38-46A9-AA3E-3D350BFAF973}"/>
                </c:ext>
              </c:extLst>
            </c:dLbl>
            <c:dLbl>
              <c:idx val="13"/>
              <c:layout>
                <c:manualLayout>
                  <c:x val="0.16800533060302447"/>
                  <c:y val="4.2435895038060868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5293223795941916"/>
                      <c:h val="0.22459498382179663"/>
                    </c:manualLayout>
                  </c15:layout>
                </c:ext>
                <c:ext xmlns:c16="http://schemas.microsoft.com/office/drawing/2014/chart" uri="{C3380CC4-5D6E-409C-BE32-E72D297353CC}">
                  <c16:uniqueId val="{0000001A-0589-4328-BB2D-CC926B0885B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nb-NO"/>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porteføljer'!$K$6:$K$19</c:f>
              <c:numCache>
                <c:formatCode>0%</c:formatCode>
                <c:ptCount val="14"/>
                <c:pt idx="2">
                  <c:v>0.17499999999999999</c:v>
                </c:pt>
                <c:pt idx="3">
                  <c:v>0.17499999999999999</c:v>
                </c:pt>
                <c:pt idx="4">
                  <c:v>0.2</c:v>
                </c:pt>
                <c:pt idx="8">
                  <c:v>0.05</c:v>
                </c:pt>
                <c:pt idx="9">
                  <c:v>0.15</c:v>
                </c:pt>
                <c:pt idx="10">
                  <c:v>0.05</c:v>
                </c:pt>
                <c:pt idx="11">
                  <c:v>0.1</c:v>
                </c:pt>
                <c:pt idx="13">
                  <c:v>0.1</c:v>
                </c:pt>
              </c:numCache>
            </c:numRef>
          </c:val>
          <c:extLst>
            <c:ext xmlns:c16="http://schemas.microsoft.com/office/drawing/2014/chart" uri="{C3380CC4-5D6E-409C-BE32-E72D297353CC}">
              <c16:uniqueId val="{0000001A-1F38-46A9-AA3E-3D350BFAF97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nb-N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'Definerte porteføljer'!$L$5</c:f>
              <c:strCache>
                <c:ptCount val="1"/>
                <c:pt idx="0">
                  <c:v>Allokering 3 (Kjerne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E9-49C4-A638-7FFE2273A6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E9-49C4-A638-7FFE2273A6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E9-49C4-A638-7FFE2273A6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E9-49C4-A638-7FFE2273A6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7E9-49C4-A638-7FFE2273A6C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7E9-49C4-A638-7FFE2273A6C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7E9-49C4-A638-7FFE2273A6C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7E9-49C4-A638-7FFE2273A6C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7E9-49C4-A638-7FFE2273A6C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7E9-49C4-A638-7FFE2273A6C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47E9-49C4-A638-7FFE2273A6C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7E9-49C4-A638-7FFE2273A6C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7E9-49C4-A638-7FFE2273A6C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A-4AFD-4F81-98EA-FF6CF2B4A36E}"/>
              </c:ext>
            </c:extLst>
          </c:dPt>
          <c:dLbls>
            <c:dLbl>
              <c:idx val="2"/>
              <c:layout>
                <c:manualLayout>
                  <c:x val="-4.9433573635427393E-2"/>
                  <c:y val="6.175771971496436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7E9-49C4-A638-7FFE2273A6C9}"/>
                </c:ext>
              </c:extLst>
            </c:dLbl>
            <c:dLbl>
              <c:idx val="3"/>
              <c:layout>
                <c:manualLayout>
                  <c:x val="-6.7971163748712829E-2"/>
                  <c:y val="0"/>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8938864876699885"/>
                      <c:h val="0.11920511717507995"/>
                    </c:manualLayout>
                  </c15:layout>
                </c:ext>
                <c:ext xmlns:c16="http://schemas.microsoft.com/office/drawing/2014/chart" uri="{C3380CC4-5D6E-409C-BE32-E72D297353CC}">
                  <c16:uniqueId val="{00000007-47E9-49C4-A638-7FFE2273A6C9}"/>
                </c:ext>
              </c:extLst>
            </c:dLbl>
            <c:dLbl>
              <c:idx val="4"/>
              <c:layout>
                <c:manualLayout>
                  <c:x val="-5.7672502574665295E-2"/>
                  <c:y val="-9.026128266033253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47E9-49C4-A638-7FFE2273A6C9}"/>
                </c:ext>
              </c:extLst>
            </c:dLbl>
            <c:dLbl>
              <c:idx val="5"/>
              <c:layout>
                <c:manualLayout>
                  <c:x val="-5.355303810504642E-2"/>
                  <c:y val="-7.12589073634205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47E9-49C4-A638-7FFE2273A6C9}"/>
                </c:ext>
              </c:extLst>
            </c:dLbl>
            <c:dLbl>
              <c:idx val="11"/>
              <c:layout>
                <c:manualLayout>
                  <c:x val="4.9433573635427393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7-47E9-49C4-A638-7FFE2273A6C9}"/>
                </c:ext>
              </c:extLst>
            </c:dLbl>
            <c:dLbl>
              <c:idx val="13"/>
              <c:layout>
                <c:manualLayout>
                  <c:x val="0.12358393408856849"/>
                  <c:y val="2.8503562945368172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3593340739719584"/>
                      <c:h val="0.21984438999756858"/>
                    </c:manualLayout>
                  </c15:layout>
                </c:ext>
                <c:ext xmlns:c16="http://schemas.microsoft.com/office/drawing/2014/chart" uri="{C3380CC4-5D6E-409C-BE32-E72D297353CC}">
                  <c16:uniqueId val="{0000001A-4AFD-4F81-98EA-FF6CF2B4A36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nb-N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porteføljer'!$L$6:$L$19</c:f>
              <c:numCache>
                <c:formatCode>0%</c:formatCode>
                <c:ptCount val="14"/>
                <c:pt idx="2">
                  <c:v>0.15</c:v>
                </c:pt>
                <c:pt idx="3">
                  <c:v>0.15</c:v>
                </c:pt>
                <c:pt idx="4">
                  <c:v>0.1</c:v>
                </c:pt>
                <c:pt idx="8">
                  <c:v>0.1</c:v>
                </c:pt>
                <c:pt idx="9">
                  <c:v>0.1</c:v>
                </c:pt>
                <c:pt idx="10">
                  <c:v>0.1</c:v>
                </c:pt>
                <c:pt idx="11">
                  <c:v>0.1</c:v>
                </c:pt>
                <c:pt idx="12">
                  <c:v>0.1</c:v>
                </c:pt>
                <c:pt idx="13">
                  <c:v>0.1</c:v>
                </c:pt>
              </c:numCache>
            </c:numRef>
          </c:val>
          <c:extLst>
            <c:ext xmlns:c16="http://schemas.microsoft.com/office/drawing/2014/chart" uri="{C3380CC4-5D6E-409C-BE32-E72D297353CC}">
              <c16:uniqueId val="{0000001A-47E9-49C4-A638-7FFE2273A6C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nb-N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'Definerte porteføljer'!$J$5</c:f>
              <c:strCache>
                <c:ptCount val="1"/>
                <c:pt idx="0">
                  <c:v>Allokering 1 (Kjerne)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8B-4EEE-870B-75BD7D0FBF3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8B-4EEE-870B-75BD7D0FBF3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8B-4EEE-870B-75BD7D0FBF3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8B-4EEE-870B-75BD7D0FBF3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38B-4EEE-870B-75BD7D0FBF33}"/>
              </c:ext>
            </c:extLst>
          </c:dPt>
          <c:dPt>
            <c:idx val="5"/>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B-538B-4EEE-870B-75BD7D0FBF3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38B-4EEE-870B-75BD7D0FBF3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38B-4EEE-870B-75BD7D0FBF3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38B-4EEE-870B-75BD7D0FBF3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38B-4EEE-870B-75BD7D0FBF3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38B-4EEE-870B-75BD7D0FBF3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38B-4EEE-870B-75BD7D0FBF3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538B-4EEE-870B-75BD7D0FBF3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A83-4A61-A87E-1F885D99171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ysClr val="windowText" lastClr="000000"/>
                    </a:solidFill>
                    <a:latin typeface="+mn-lt"/>
                    <a:ea typeface="+mn-ea"/>
                    <a:cs typeface="+mn-cs"/>
                  </a:defRPr>
                </a:pPr>
                <a:endParaRPr lang="nb-NO"/>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porteføljer'!$J$6:$J$19</c:f>
              <c:numCache>
                <c:formatCode>0%</c:formatCode>
                <c:ptCount val="14"/>
                <c:pt idx="2">
                  <c:v>0.27500000000000002</c:v>
                </c:pt>
                <c:pt idx="3">
                  <c:v>0.27500000000000002</c:v>
                </c:pt>
                <c:pt idx="4">
                  <c:v>0.3</c:v>
                </c:pt>
                <c:pt idx="9">
                  <c:v>0.15</c:v>
                </c:pt>
              </c:numCache>
            </c:numRef>
          </c:val>
          <c:extLst>
            <c:ext xmlns:c16="http://schemas.microsoft.com/office/drawing/2014/chart" uri="{C3380CC4-5D6E-409C-BE32-E72D297353CC}">
              <c16:uniqueId val="{0000001A-538B-4EEE-870B-75BD7D0FBF3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nb-N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pieChart>
        <c:varyColors val="1"/>
        <c:ser>
          <c:idx val="0"/>
          <c:order val="0"/>
          <c:tx>
            <c:strRef>
              <c:f>'Definerte porteføljer'!$T$5</c:f>
              <c:strCache>
                <c:ptCount val="1"/>
                <c:pt idx="0">
                  <c:v>Allokering 2 (Kjerne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AF-47E4-849B-CA9531DD6D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AF-47E4-849B-CA9531DD6D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3AF-47E4-849B-CA9531DD6D5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3AF-47E4-849B-CA9531DD6D5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3AF-47E4-849B-CA9531DD6D5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3AF-47E4-849B-CA9531DD6D5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3AF-47E4-849B-CA9531DD6D5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3AF-47E4-849B-CA9531DD6D5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3AF-47E4-849B-CA9531DD6D5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3AF-47E4-849B-CA9531DD6D5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3AF-47E4-849B-CA9531DD6D5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3AF-47E4-849B-CA9531DD6D5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3AF-47E4-849B-CA9531DD6D5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91E-406B-B978-D9624121BD3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nb-N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porteføljer'!$T$6:$T$19</c:f>
              <c:numCache>
                <c:formatCode>0%</c:formatCode>
                <c:ptCount val="14"/>
                <c:pt idx="1">
                  <c:v>0.2</c:v>
                </c:pt>
                <c:pt idx="2">
                  <c:v>0.05</c:v>
                </c:pt>
                <c:pt idx="3">
                  <c:v>0.05</c:v>
                </c:pt>
                <c:pt idx="4">
                  <c:v>0.4</c:v>
                </c:pt>
                <c:pt idx="8">
                  <c:v>0.05</c:v>
                </c:pt>
                <c:pt idx="9">
                  <c:v>0.05</c:v>
                </c:pt>
                <c:pt idx="12">
                  <c:v>0.15</c:v>
                </c:pt>
                <c:pt idx="13">
                  <c:v>0.05</c:v>
                </c:pt>
              </c:numCache>
            </c:numRef>
          </c:val>
          <c:extLst>
            <c:ext xmlns:c16="http://schemas.microsoft.com/office/drawing/2014/chart" uri="{C3380CC4-5D6E-409C-BE32-E72D297353CC}">
              <c16:uniqueId val="{0000001A-C3AF-47E4-849B-CA9531DD6D5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pieChart>
        <c:varyColors val="1"/>
        <c:ser>
          <c:idx val="0"/>
          <c:order val="0"/>
          <c:tx>
            <c:strRef>
              <c:f>'Definerte porteføljer'!$U$5</c:f>
              <c:strCache>
                <c:ptCount val="1"/>
                <c:pt idx="0">
                  <c:v>Allokering 3 (Kjerne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61-431E-A525-39C2CCFF97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61-431E-A525-39C2CCFF97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61-431E-A525-39C2CCFF97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61-431E-A525-39C2CCFF97E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A61-431E-A525-39C2CCFF97E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A61-431E-A525-39C2CCFF97E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A61-431E-A525-39C2CCFF97E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A61-431E-A525-39C2CCFF97E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A61-431E-A525-39C2CCFF97E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A61-431E-A525-39C2CCFF97E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A61-431E-A525-39C2CCFF97E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A61-431E-A525-39C2CCFF97E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A61-431E-A525-39C2CCFF97E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DE0-4EFE-9FD8-9E94CEF1EF3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nb-N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porteføljer'!$U$6:$U$19</c:f>
              <c:numCache>
                <c:formatCode>0%</c:formatCode>
                <c:ptCount val="14"/>
                <c:pt idx="1">
                  <c:v>0.1</c:v>
                </c:pt>
                <c:pt idx="2">
                  <c:v>0.05</c:v>
                </c:pt>
                <c:pt idx="3">
                  <c:v>0.05</c:v>
                </c:pt>
                <c:pt idx="4">
                  <c:v>0.3</c:v>
                </c:pt>
                <c:pt idx="8">
                  <c:v>0.05</c:v>
                </c:pt>
                <c:pt idx="9">
                  <c:v>0.05</c:v>
                </c:pt>
                <c:pt idx="10">
                  <c:v>0.05</c:v>
                </c:pt>
                <c:pt idx="12">
                  <c:v>0.2</c:v>
                </c:pt>
                <c:pt idx="13">
                  <c:v>0.15</c:v>
                </c:pt>
              </c:numCache>
            </c:numRef>
          </c:val>
          <c:extLst>
            <c:ext xmlns:c16="http://schemas.microsoft.com/office/drawing/2014/chart" uri="{C3380CC4-5D6E-409C-BE32-E72D297353CC}">
              <c16:uniqueId val="{0000001A-1A61-431E-A525-39C2CCFF97E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lotArea>
      <c:layout/>
      <c:pieChart>
        <c:varyColors val="1"/>
        <c:ser>
          <c:idx val="0"/>
          <c:order val="0"/>
          <c:tx>
            <c:strRef>
              <c:f>'Definerte porteføljer'!$S$5</c:f>
              <c:strCache>
                <c:ptCount val="1"/>
                <c:pt idx="0">
                  <c:v>Allokering 1 (Kjerne)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E9-40C4-B616-B351D0A06F2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E9-40C4-B616-B351D0A06F2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E9-40C4-B616-B351D0A06F2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E9-40C4-B616-B351D0A06F2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E9-40C4-B616-B351D0A06F2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E9-40C4-B616-B351D0A06F2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BE9-40C4-B616-B351D0A06F2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BE9-40C4-B616-B351D0A06F2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BE9-40C4-B616-B351D0A06F2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BE9-40C4-B616-B351D0A06F2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BE9-40C4-B616-B351D0A06F2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BE9-40C4-B616-B351D0A06F2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BE9-40C4-B616-B351D0A06F2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358-4DA6-B43C-3E78FEE8FAB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nb-NO"/>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'Definerte porteføljer'!$B$6:$B$19</c:f>
              <c:strCache>
                <c:ptCount val="14"/>
                <c:pt idx="0">
                  <c:v>Kjerneporteføljer</c:v>
                </c:pt>
                <c:pt idx="1">
                  <c:v>Pensum Basis</c:v>
                </c:pt>
                <c:pt idx="2">
                  <c:v>Core Active</c:v>
                </c:pt>
                <c:pt idx="3">
                  <c:v>Edge</c:v>
                </c:pt>
                <c:pt idx="4">
                  <c:v>Global Høyrente</c:v>
                </c:pt>
                <c:pt idx="7">
                  <c:v>Spissede eksponeringer</c:v>
                </c:pt>
                <c:pt idx="8">
                  <c:v>Kairos</c:v>
                </c:pt>
                <c:pt idx="9">
                  <c:v>Norge</c:v>
                </c:pt>
                <c:pt idx="10">
                  <c:v>Global Energy</c:v>
                </c:pt>
                <c:pt idx="11">
                  <c:v>Nordic Banking</c:v>
                </c:pt>
                <c:pt idx="12">
                  <c:v>Nordisk Høyrente</c:v>
                </c:pt>
                <c:pt idx="13">
                  <c:v>Financial Opportunity</c:v>
                </c:pt>
              </c:strCache>
            </c:strRef>
          </c:cat>
          <c:val>
            <c:numRef>
              <c:f>'Definerte porteføljer'!$S$6:$S$19</c:f>
              <c:numCache>
                <c:formatCode>0%</c:formatCode>
                <c:ptCount val="14"/>
                <c:pt idx="1">
                  <c:v>0.3</c:v>
                </c:pt>
                <c:pt idx="2">
                  <c:v>0.05</c:v>
                </c:pt>
                <c:pt idx="3">
                  <c:v>0.05</c:v>
                </c:pt>
                <c:pt idx="4">
                  <c:v>0.55000000000000004</c:v>
                </c:pt>
                <c:pt idx="9">
                  <c:v>0.05</c:v>
                </c:pt>
              </c:numCache>
            </c:numRef>
          </c:val>
          <c:extLst>
            <c:ext xmlns:c16="http://schemas.microsoft.com/office/drawing/2014/chart" uri="{C3380CC4-5D6E-409C-BE32-E72D297353CC}">
              <c16:uniqueId val="{0000001A-7BE9-40C4-B616-B351D0A06F2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755650</xdr:colOff>
      <xdr:row>4</xdr:row>
      <xdr:rowOff>28574</xdr:rowOff>
    </xdr:from>
    <xdr:to>
      <xdr:col>5</xdr:col>
      <xdr:colOff>146050</xdr:colOff>
      <xdr:row>19</xdr:row>
      <xdr:rowOff>9525</xdr:rowOff>
    </xdr:to>
    <xdr:graphicFrame macro="">
      <xdr:nvGraphicFramePr>
        <xdr:cNvPr id="3" name="Diagram 2">
          <a:extLst>
            <a:ext uri="{FF2B5EF4-FFF2-40B4-BE49-F238E27FC236}">
              <a16:creationId xmlns:a16="http://schemas.microsoft.com/office/drawing/2014/main" id="{7F391DE9-734E-40C0-AB5B-7BB060288E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273051</xdr:colOff>
      <xdr:row>4</xdr:row>
      <xdr:rowOff>28575</xdr:rowOff>
    </xdr:from>
    <xdr:to>
      <xdr:col>10</xdr:col>
      <xdr:colOff>409576</xdr:colOff>
      <xdr:row>19</xdr:row>
      <xdr:rowOff>123825</xdr:rowOff>
    </xdr:to>
    <xdr:graphicFrame macro="">
      <xdr:nvGraphicFramePr>
        <xdr:cNvPr id="5" name="Diagram 4">
          <a:extLst>
            <a:ext uri="{FF2B5EF4-FFF2-40B4-BE49-F238E27FC236}">
              <a16:creationId xmlns:a16="http://schemas.microsoft.com/office/drawing/2014/main" id="{9299EC7C-3EAF-4136-AAF4-DB3C2F2E4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209550</xdr:colOff>
      <xdr:row>6</xdr:row>
      <xdr:rowOff>0</xdr:rowOff>
    </xdr:from>
    <xdr:to>
      <xdr:col>15</xdr:col>
      <xdr:colOff>714375</xdr:colOff>
      <xdr:row>18</xdr:row>
      <xdr:rowOff>104776</xdr:rowOff>
    </xdr:to>
    <xdr:graphicFrame macro="">
      <xdr:nvGraphicFramePr>
        <xdr:cNvPr id="6" name="Diagram 5">
          <a:extLst>
            <a:ext uri="{FF2B5EF4-FFF2-40B4-BE49-F238E27FC236}">
              <a16:creationId xmlns:a16="http://schemas.microsoft.com/office/drawing/2014/main" id="{A5A02638-253C-4B8D-84D7-1414BA14E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292100</xdr:colOff>
      <xdr:row>2</xdr:row>
      <xdr:rowOff>69850</xdr:rowOff>
    </xdr:from>
    <xdr:to>
      <xdr:col>9</xdr:col>
      <xdr:colOff>730250</xdr:colOff>
      <xdr:row>16</xdr:row>
      <xdr:rowOff>76200</xdr:rowOff>
    </xdr:to>
    <xdr:graphicFrame macro="">
      <xdr:nvGraphicFramePr>
        <xdr:cNvPr id="3" name="Diagram 2">
          <a:extLst>
            <a:ext uri="{FF2B5EF4-FFF2-40B4-BE49-F238E27FC236}">
              <a16:creationId xmlns:a16="http://schemas.microsoft.com/office/drawing/2014/main" id="{0EA0D06A-FCCA-4421-84A5-288496F772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63500</xdr:colOff>
      <xdr:row>2</xdr:row>
      <xdr:rowOff>63500</xdr:rowOff>
    </xdr:from>
    <xdr:to>
      <xdr:col>14</xdr:col>
      <xdr:colOff>698500</xdr:colOff>
      <xdr:row>16</xdr:row>
      <xdr:rowOff>69850</xdr:rowOff>
    </xdr:to>
    <xdr:graphicFrame macro="">
      <xdr:nvGraphicFramePr>
        <xdr:cNvPr id="4" name="Diagram 3">
          <a:extLst>
            <a:ext uri="{FF2B5EF4-FFF2-40B4-BE49-F238E27FC236}">
              <a16:creationId xmlns:a16="http://schemas.microsoft.com/office/drawing/2014/main" id="{42138731-920C-4A8B-8B13-7BE1037A2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xdr:row>
      <xdr:rowOff>76200</xdr:rowOff>
    </xdr:from>
    <xdr:to>
      <xdr:col>5</xdr:col>
      <xdr:colOff>63500</xdr:colOff>
      <xdr:row>16</xdr:row>
      <xdr:rowOff>82550</xdr:rowOff>
    </xdr:to>
    <xdr:graphicFrame macro="">
      <xdr:nvGraphicFramePr>
        <xdr:cNvPr id="5" name="Diagram 4">
          <a:extLst>
            <a:ext uri="{FF2B5EF4-FFF2-40B4-BE49-F238E27FC236}">
              <a16:creationId xmlns:a16="http://schemas.microsoft.com/office/drawing/2014/main" id="{BED6122C-81C6-48B9-B5E3-79450938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292100</xdr:colOff>
      <xdr:row>22</xdr:row>
      <xdr:rowOff>69850</xdr:rowOff>
    </xdr:from>
    <xdr:to>
      <xdr:col>9</xdr:col>
      <xdr:colOff>730250</xdr:colOff>
      <xdr:row>36</xdr:row>
      <xdr:rowOff>76200</xdr:rowOff>
    </xdr:to>
    <xdr:graphicFrame macro="">
      <xdr:nvGraphicFramePr>
        <xdr:cNvPr id="6" name="Diagram 5">
          <a:extLst>
            <a:ext uri="{FF2B5EF4-FFF2-40B4-BE49-F238E27FC236}">
              <a16:creationId xmlns:a16="http://schemas.microsoft.com/office/drawing/2014/main" id="{AB9CFC9D-F0F0-4B85-A372-A86AA2FAC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63500</xdr:colOff>
      <xdr:row>22</xdr:row>
      <xdr:rowOff>63500</xdr:rowOff>
    </xdr:from>
    <xdr:to>
      <xdr:col>14</xdr:col>
      <xdr:colOff>698500</xdr:colOff>
      <xdr:row>36</xdr:row>
      <xdr:rowOff>69850</xdr:rowOff>
    </xdr:to>
    <xdr:graphicFrame macro="">
      <xdr:nvGraphicFramePr>
        <xdr:cNvPr id="7" name="Diagram 6">
          <a:extLst>
            <a:ext uri="{FF2B5EF4-FFF2-40B4-BE49-F238E27FC236}">
              <a16:creationId xmlns:a16="http://schemas.microsoft.com/office/drawing/2014/main" id="{70ADABD8-EE2B-4970-B413-F19CF2519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19050</xdr:colOff>
      <xdr:row>22</xdr:row>
      <xdr:rowOff>76200</xdr:rowOff>
    </xdr:from>
    <xdr:to>
      <xdr:col>5</xdr:col>
      <xdr:colOff>63500</xdr:colOff>
      <xdr:row>36</xdr:row>
      <xdr:rowOff>82550</xdr:rowOff>
    </xdr:to>
    <xdr:graphicFrame macro="">
      <xdr:nvGraphicFramePr>
        <xdr:cNvPr id="8" name="Diagram 7">
          <a:extLst>
            <a:ext uri="{FF2B5EF4-FFF2-40B4-BE49-F238E27FC236}">
              <a16:creationId xmlns:a16="http://schemas.microsoft.com/office/drawing/2014/main" id="{2AB207F4-35BB-4654-82B9-86E783A24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292100</xdr:colOff>
      <xdr:row>2</xdr:row>
      <xdr:rowOff>69850</xdr:rowOff>
    </xdr:from>
    <xdr:to>
      <xdr:col>9</xdr:col>
      <xdr:colOff>730250</xdr:colOff>
      <xdr:row>16</xdr:row>
      <xdr:rowOff>76200</xdr:rowOff>
    </xdr:to>
    <xdr:graphicFrame macro="">
      <xdr:nvGraphicFramePr>
        <xdr:cNvPr id="2" name="Diagram 1">
          <a:extLst>
            <a:ext uri="{FF2B5EF4-FFF2-40B4-BE49-F238E27FC236}">
              <a16:creationId xmlns:a16="http://schemas.microsoft.com/office/drawing/2014/main" id="{7C34BC40-B86C-4712-9016-94AB66C2A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63500</xdr:colOff>
      <xdr:row>2</xdr:row>
      <xdr:rowOff>63500</xdr:rowOff>
    </xdr:from>
    <xdr:to>
      <xdr:col>14</xdr:col>
      <xdr:colOff>698500</xdr:colOff>
      <xdr:row>16</xdr:row>
      <xdr:rowOff>69850</xdr:rowOff>
    </xdr:to>
    <xdr:graphicFrame macro="">
      <xdr:nvGraphicFramePr>
        <xdr:cNvPr id="3" name="Diagram 2">
          <a:extLst>
            <a:ext uri="{FF2B5EF4-FFF2-40B4-BE49-F238E27FC236}">
              <a16:creationId xmlns:a16="http://schemas.microsoft.com/office/drawing/2014/main" id="{99F8AF4B-1E2F-475F-B081-EB9B45203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2</xdr:row>
      <xdr:rowOff>76200</xdr:rowOff>
    </xdr:from>
    <xdr:to>
      <xdr:col>5</xdr:col>
      <xdr:colOff>63500</xdr:colOff>
      <xdr:row>16</xdr:row>
      <xdr:rowOff>82550</xdr:rowOff>
    </xdr:to>
    <xdr:graphicFrame macro="">
      <xdr:nvGraphicFramePr>
        <xdr:cNvPr id="4" name="Diagram 3">
          <a:extLst>
            <a:ext uri="{FF2B5EF4-FFF2-40B4-BE49-F238E27FC236}">
              <a16:creationId xmlns:a16="http://schemas.microsoft.com/office/drawing/2014/main" id="{A27BF892-6BAB-48B9-B68F-B0AD0A2C5A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tema">
  <a:themeElements>
    <a:clrScheme name="Egendefinert 2">
      <a:dk1>
        <a:srgbClr val="0D2841"/>
      </a:dk1>
      <a:lt1>
        <a:srgbClr val="F5F5F5"/>
      </a:lt1>
      <a:dk2>
        <a:srgbClr val="123E6A"/>
      </a:dk2>
      <a:lt2>
        <a:srgbClr val="FFFFFF"/>
      </a:lt2>
      <a:accent1>
        <a:srgbClr val="0D2841"/>
      </a:accent1>
      <a:accent2>
        <a:srgbClr val="D3826A"/>
      </a:accent2>
      <a:accent3>
        <a:srgbClr val="B1B3B3"/>
      </a:accent3>
      <a:accent4>
        <a:srgbClr val="123E6A"/>
      </a:accent4>
      <a:accent5>
        <a:srgbClr val="0D2841"/>
      </a:accent5>
      <a:accent6>
        <a:srgbClr val="FFFFFF"/>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C783-735D-40E0-8768-EF2325E2C976}">
  <dimension ref="B1:Y27"/>
  <sheetViews>
    <sheetView showGridLines="0" tabSelected="1" topLeftCell="B1" zoomScale="80" zoomScaleNormal="80" workbookViewId="0">
      <pane xSplit="1" ySplit="5" topLeftCell="D8" activePane="bottomRight" state="frozen"/>
      <selection activeCell="B1" sqref="B1"/>
      <selection pane="topRight" activeCell="C1" sqref="C1"/>
      <selection pane="bottomLeft" activeCell="B6" sqref="B6"/>
      <selection pane="bottomRight" activeCell="F14" sqref="F14"/>
    </sheetView>
  </sheetViews>
  <sheetFormatPr baseColWidth="10" defaultRowHeight="14.5" x14ac:dyDescent="0.35"/>
  <cols>
    <col min="2" max="2" width="32.81640625" customWidth="1"/>
    <col min="3" max="3" width="57.81640625" customWidth="1"/>
    <col min="4" max="4" width="15.453125" style="2" customWidth="1"/>
    <col min="5" max="6" width="16.90625" style="2" customWidth="1"/>
    <col min="7" max="7" width="14.6328125" style="2" customWidth="1"/>
    <col min="8" max="8" width="16" style="2" customWidth="1"/>
    <col min="9" max="9" width="16.08984375" style="2" customWidth="1"/>
    <col min="10" max="10" width="15.7265625" customWidth="1"/>
    <col min="11" max="11" width="15.81640625" customWidth="1"/>
    <col min="12" max="12" width="15.453125" customWidth="1"/>
    <col min="13" max="13" width="15.7265625" style="2" customWidth="1"/>
    <col min="14" max="14" width="16.08984375" style="2" customWidth="1"/>
    <col min="15" max="15" width="16" style="2" customWidth="1"/>
    <col min="16" max="16" width="15.1796875" customWidth="1"/>
    <col min="17" max="17" width="15.26953125" customWidth="1"/>
    <col min="18" max="18" width="13.90625" customWidth="1"/>
    <col min="19" max="19" width="15.7265625" customWidth="1"/>
    <col min="20" max="20" width="14.7265625" customWidth="1"/>
    <col min="21" max="21" width="15" customWidth="1"/>
    <col min="22" max="22" width="15.7265625" customWidth="1"/>
    <col min="23" max="23" width="14.7265625" customWidth="1"/>
    <col min="24" max="24" width="15" customWidth="1"/>
  </cols>
  <sheetData>
    <row r="1" spans="2:25" ht="19.5" customHeight="1" x14ac:dyDescent="0.35"/>
    <row r="2" spans="2:25" ht="19.5" customHeight="1" x14ac:dyDescent="0.35"/>
    <row r="3" spans="2:25" s="43" customFormat="1" ht="19.5" customHeight="1" x14ac:dyDescent="0.45">
      <c r="D3" s="55" t="s">
        <v>10</v>
      </c>
      <c r="E3" s="55"/>
      <c r="F3" s="55"/>
      <c r="G3" s="56" t="s">
        <v>17</v>
      </c>
      <c r="H3" s="56"/>
      <c r="I3" s="56"/>
      <c r="J3" s="57" t="s">
        <v>18</v>
      </c>
      <c r="K3" s="57"/>
      <c r="L3" s="57"/>
      <c r="M3" s="59" t="s">
        <v>53</v>
      </c>
      <c r="N3" s="59"/>
      <c r="O3" s="59"/>
      <c r="P3" s="60" t="s">
        <v>54</v>
      </c>
      <c r="Q3" s="60"/>
      <c r="R3" s="60"/>
      <c r="S3" s="58" t="s">
        <v>56</v>
      </c>
      <c r="T3" s="58"/>
      <c r="U3" s="58"/>
      <c r="V3" s="54" t="s">
        <v>57</v>
      </c>
      <c r="W3" s="54"/>
      <c r="X3" s="54"/>
    </row>
    <row r="4" spans="2:25" ht="19.5" customHeight="1" x14ac:dyDescent="0.35">
      <c r="D4" s="23"/>
      <c r="E4" s="23"/>
      <c r="F4" s="23"/>
      <c r="G4" s="13"/>
      <c r="H4" s="13"/>
      <c r="I4" s="13"/>
      <c r="J4" s="18"/>
      <c r="K4" s="18"/>
      <c r="L4" s="18"/>
      <c r="M4" s="10"/>
      <c r="N4" s="10"/>
      <c r="O4" s="10"/>
      <c r="P4" s="28"/>
      <c r="Q4" s="28"/>
      <c r="R4" s="28"/>
      <c r="S4" s="33"/>
      <c r="T4" s="33"/>
      <c r="U4" s="33"/>
      <c r="V4" s="38"/>
      <c r="W4" s="38"/>
      <c r="X4" s="38"/>
    </row>
    <row r="5" spans="2:25" s="44" customFormat="1" ht="47.5" customHeight="1" x14ac:dyDescent="0.35">
      <c r="D5" s="45" t="s">
        <v>48</v>
      </c>
      <c r="E5" s="45" t="s">
        <v>49</v>
      </c>
      <c r="F5" s="45" t="s">
        <v>50</v>
      </c>
      <c r="G5" s="46" t="s">
        <v>48</v>
      </c>
      <c r="H5" s="46" t="s">
        <v>49</v>
      </c>
      <c r="I5" s="46" t="s">
        <v>50</v>
      </c>
      <c r="J5" s="47" t="s">
        <v>48</v>
      </c>
      <c r="K5" s="47" t="s">
        <v>49</v>
      </c>
      <c r="L5" s="47" t="s">
        <v>50</v>
      </c>
      <c r="M5" s="48" t="s">
        <v>48</v>
      </c>
      <c r="N5" s="48" t="s">
        <v>49</v>
      </c>
      <c r="O5" s="48" t="s">
        <v>50</v>
      </c>
      <c r="P5" s="49" t="s">
        <v>48</v>
      </c>
      <c r="Q5" s="49" t="s">
        <v>49</v>
      </c>
      <c r="R5" s="49" t="s">
        <v>50</v>
      </c>
      <c r="S5" s="50" t="s">
        <v>48</v>
      </c>
      <c r="T5" s="50" t="s">
        <v>49</v>
      </c>
      <c r="U5" s="50" t="s">
        <v>50</v>
      </c>
      <c r="V5" s="51" t="s">
        <v>48</v>
      </c>
      <c r="W5" s="51" t="s">
        <v>49</v>
      </c>
      <c r="X5" s="51" t="s">
        <v>50</v>
      </c>
    </row>
    <row r="6" spans="2:25" ht="19.5" customHeight="1" x14ac:dyDescent="0.35">
      <c r="B6" s="1" t="s">
        <v>1</v>
      </c>
      <c r="C6" s="1" t="s">
        <v>58</v>
      </c>
      <c r="D6" s="23"/>
      <c r="E6" s="23"/>
      <c r="F6" s="23"/>
      <c r="G6" s="13"/>
      <c r="H6" s="13"/>
      <c r="I6" s="13"/>
      <c r="J6" s="18"/>
      <c r="K6" s="18"/>
      <c r="L6" s="18"/>
      <c r="M6" s="10"/>
      <c r="N6" s="10"/>
      <c r="O6" s="10"/>
      <c r="P6" s="28"/>
      <c r="Q6" s="28"/>
      <c r="R6" s="28"/>
      <c r="S6" s="34"/>
      <c r="T6" s="34"/>
      <c r="U6" s="34"/>
      <c r="V6" s="38"/>
      <c r="W6" s="38"/>
      <c r="X6" s="38"/>
    </row>
    <row r="7" spans="2:25" ht="23" customHeight="1" x14ac:dyDescent="0.35">
      <c r="B7" s="52" t="s">
        <v>11</v>
      </c>
      <c r="C7" s="53" t="s">
        <v>59</v>
      </c>
      <c r="D7" s="23"/>
      <c r="E7" s="23"/>
      <c r="F7" s="23"/>
      <c r="G7" s="14">
        <v>0.4</v>
      </c>
      <c r="H7" s="15">
        <v>0.3</v>
      </c>
      <c r="I7" s="15">
        <v>0.2</v>
      </c>
      <c r="J7" s="19"/>
      <c r="K7" s="19"/>
      <c r="L7" s="19"/>
      <c r="M7" s="26">
        <v>0.3</v>
      </c>
      <c r="N7" s="11">
        <v>0.2</v>
      </c>
      <c r="O7" s="11">
        <v>0.1</v>
      </c>
      <c r="P7" s="29"/>
      <c r="Q7" s="29"/>
      <c r="R7" s="29"/>
      <c r="S7" s="35">
        <v>0.3</v>
      </c>
      <c r="T7" s="35">
        <v>0.2</v>
      </c>
      <c r="U7" s="35">
        <v>0.1</v>
      </c>
      <c r="V7" s="39"/>
      <c r="W7" s="39"/>
      <c r="X7" s="39"/>
      <c r="Y7" s="2"/>
    </row>
    <row r="8" spans="2:25" ht="23" customHeight="1" x14ac:dyDescent="0.35">
      <c r="B8" s="52" t="s">
        <v>39</v>
      </c>
      <c r="C8" s="53" t="s">
        <v>60</v>
      </c>
      <c r="D8" s="24">
        <v>0.4</v>
      </c>
      <c r="E8" s="24">
        <v>0.3</v>
      </c>
      <c r="F8" s="24">
        <v>0.2</v>
      </c>
      <c r="G8" s="16">
        <v>0.17499999999999999</v>
      </c>
      <c r="H8" s="15">
        <v>0.1</v>
      </c>
      <c r="I8" s="15">
        <v>0.1</v>
      </c>
      <c r="J8" s="20">
        <v>0.27500000000000002</v>
      </c>
      <c r="K8" s="19">
        <v>0.17499999999999999</v>
      </c>
      <c r="L8" s="19">
        <v>0.15</v>
      </c>
      <c r="M8" s="27">
        <v>0.125</v>
      </c>
      <c r="N8" s="26">
        <v>0.1</v>
      </c>
      <c r="O8" s="26">
        <v>7.4999999999999997E-2</v>
      </c>
      <c r="P8" s="30">
        <f>D8/2</f>
        <v>0.2</v>
      </c>
      <c r="Q8" s="30">
        <f t="shared" ref="Q8:R8" si="0">E8/2</f>
        <v>0.15</v>
      </c>
      <c r="R8" s="30">
        <f t="shared" si="0"/>
        <v>0.1</v>
      </c>
      <c r="S8" s="36">
        <v>0.05</v>
      </c>
      <c r="T8" s="35">
        <v>0.05</v>
      </c>
      <c r="U8" s="35">
        <v>0.05</v>
      </c>
      <c r="V8" s="40">
        <f>D8*0.3</f>
        <v>0.12</v>
      </c>
      <c r="W8" s="40">
        <v>0.1</v>
      </c>
      <c r="X8" s="40">
        <v>7.0000000000000007E-2</v>
      </c>
      <c r="Y8" s="2"/>
    </row>
    <row r="9" spans="2:25" ht="23" customHeight="1" x14ac:dyDescent="0.35">
      <c r="B9" s="52" t="s">
        <v>40</v>
      </c>
      <c r="C9" s="53" t="s">
        <v>61</v>
      </c>
      <c r="D9" s="24">
        <v>0.4</v>
      </c>
      <c r="E9" s="24">
        <v>0.3</v>
      </c>
      <c r="F9" s="24">
        <v>0.2</v>
      </c>
      <c r="G9" s="16">
        <v>0.17499999999999999</v>
      </c>
      <c r="H9" s="15">
        <v>0.1</v>
      </c>
      <c r="I9" s="15">
        <v>0.1</v>
      </c>
      <c r="J9" s="20">
        <v>0.27500000000000002</v>
      </c>
      <c r="K9" s="19">
        <v>0.17499999999999999</v>
      </c>
      <c r="L9" s="19">
        <v>0.15</v>
      </c>
      <c r="M9" s="27">
        <v>0.125</v>
      </c>
      <c r="N9" s="26">
        <v>0.1</v>
      </c>
      <c r="O9" s="26">
        <v>7.4999999999999997E-2</v>
      </c>
      <c r="P9" s="30">
        <f t="shared" ref="P9" si="1">D9/2</f>
        <v>0.2</v>
      </c>
      <c r="Q9" s="30">
        <f t="shared" ref="Q9" si="2">E9/2</f>
        <v>0.15</v>
      </c>
      <c r="R9" s="30">
        <f t="shared" ref="R9" si="3">F9/2</f>
        <v>0.1</v>
      </c>
      <c r="S9" s="36">
        <v>0.05</v>
      </c>
      <c r="T9" s="35">
        <v>0.05</v>
      </c>
      <c r="U9" s="35">
        <v>0.05</v>
      </c>
      <c r="V9" s="40">
        <f>D9*0.3</f>
        <v>0.12</v>
      </c>
      <c r="W9" s="40">
        <v>0.1</v>
      </c>
      <c r="X9" s="40">
        <v>7.0000000000000007E-2</v>
      </c>
      <c r="Y9" s="2"/>
    </row>
    <row r="10" spans="2:25" ht="23" customHeight="1" x14ac:dyDescent="0.35">
      <c r="B10" s="52" t="s">
        <v>42</v>
      </c>
      <c r="C10" s="53" t="s">
        <v>62</v>
      </c>
      <c r="D10" s="23"/>
      <c r="E10" s="23"/>
      <c r="F10" s="23"/>
      <c r="G10" s="14">
        <v>0.1</v>
      </c>
      <c r="H10" s="15">
        <v>0.1</v>
      </c>
      <c r="I10" s="15">
        <v>0.05</v>
      </c>
      <c r="J10" s="19">
        <v>0.3</v>
      </c>
      <c r="K10" s="19">
        <v>0.2</v>
      </c>
      <c r="L10" s="19">
        <v>0.1</v>
      </c>
      <c r="M10" s="26">
        <v>0.35</v>
      </c>
      <c r="N10" s="26">
        <v>0.25</v>
      </c>
      <c r="O10" s="11">
        <v>0.2</v>
      </c>
      <c r="P10" s="30">
        <v>0.5</v>
      </c>
      <c r="Q10" s="30">
        <v>0.35</v>
      </c>
      <c r="R10" s="30">
        <v>0.2</v>
      </c>
      <c r="S10" s="35">
        <v>0.55000000000000004</v>
      </c>
      <c r="T10" s="35">
        <v>0.4</v>
      </c>
      <c r="U10" s="35">
        <v>0.3</v>
      </c>
      <c r="V10" s="41">
        <v>0.7</v>
      </c>
      <c r="W10" s="41">
        <v>0.45</v>
      </c>
      <c r="X10" s="41">
        <v>0.3</v>
      </c>
      <c r="Y10" s="2"/>
    </row>
    <row r="11" spans="2:25" ht="19.5" customHeight="1" x14ac:dyDescent="0.35">
      <c r="D11" s="23"/>
      <c r="E11" s="23"/>
      <c r="F11" s="23"/>
      <c r="G11" s="13"/>
      <c r="H11" s="13"/>
      <c r="I11" s="13"/>
      <c r="J11" s="18"/>
      <c r="K11" s="18"/>
      <c r="L11" s="18"/>
      <c r="M11" s="10"/>
      <c r="N11" s="10"/>
      <c r="O11" s="10"/>
      <c r="P11" s="28"/>
      <c r="Q11" s="28"/>
      <c r="R11" s="28"/>
      <c r="S11" s="34"/>
      <c r="T11" s="34"/>
      <c r="U11" s="34"/>
      <c r="V11" s="39"/>
      <c r="W11" s="39"/>
      <c r="X11" s="39"/>
      <c r="Y11" s="2"/>
    </row>
    <row r="12" spans="2:25" ht="19.5" customHeight="1" x14ac:dyDescent="0.35">
      <c r="D12" s="23"/>
      <c r="E12" s="23"/>
      <c r="F12" s="23"/>
      <c r="G12" s="13"/>
      <c r="H12" s="13"/>
      <c r="I12" s="13"/>
      <c r="J12" s="18"/>
      <c r="K12" s="18"/>
      <c r="L12" s="18"/>
      <c r="M12" s="10"/>
      <c r="N12" s="10"/>
      <c r="O12" s="10"/>
      <c r="P12" s="28"/>
      <c r="Q12" s="28"/>
      <c r="R12" s="28"/>
      <c r="S12" s="34"/>
      <c r="T12" s="34"/>
      <c r="U12" s="34"/>
      <c r="V12" s="39"/>
      <c r="W12" s="39"/>
      <c r="X12" s="39"/>
      <c r="Y12" s="2"/>
    </row>
    <row r="13" spans="2:25" ht="19.5" customHeight="1" x14ac:dyDescent="0.35">
      <c r="B13" s="1" t="s">
        <v>55</v>
      </c>
      <c r="C13" s="1"/>
      <c r="D13" s="23"/>
      <c r="E13" s="23"/>
      <c r="F13" s="23"/>
      <c r="G13" s="13"/>
      <c r="H13" s="13"/>
      <c r="I13" s="13"/>
      <c r="J13" s="18"/>
      <c r="K13" s="18"/>
      <c r="L13" s="18"/>
      <c r="M13" s="10"/>
      <c r="N13" s="10"/>
      <c r="O13" s="10"/>
      <c r="P13" s="28"/>
      <c r="Q13" s="28"/>
      <c r="R13" s="28"/>
      <c r="S13" s="34"/>
      <c r="T13" s="34"/>
      <c r="U13" s="34"/>
      <c r="V13" s="39"/>
      <c r="W13" s="39"/>
      <c r="X13" s="39"/>
      <c r="Y13" s="2"/>
    </row>
    <row r="14" spans="2:25" ht="19.5" customHeight="1" x14ac:dyDescent="0.35">
      <c r="B14" t="s">
        <v>43</v>
      </c>
      <c r="C14" s="53" t="s">
        <v>63</v>
      </c>
      <c r="D14" s="23"/>
      <c r="E14" s="24">
        <v>0.1</v>
      </c>
      <c r="F14" s="24">
        <v>0.2</v>
      </c>
      <c r="G14" s="13"/>
      <c r="H14" s="15">
        <v>0.05</v>
      </c>
      <c r="I14" s="15">
        <v>0.1</v>
      </c>
      <c r="J14" s="18"/>
      <c r="K14" s="19">
        <v>0.05</v>
      </c>
      <c r="L14" s="19">
        <v>0.1</v>
      </c>
      <c r="M14" s="10"/>
      <c r="N14" s="11">
        <v>0.05</v>
      </c>
      <c r="O14" s="26">
        <v>7.4999999999999997E-2</v>
      </c>
      <c r="P14" s="30"/>
      <c r="Q14" s="30">
        <f t="shared" ref="Q14" si="4">E14/2</f>
        <v>0.05</v>
      </c>
      <c r="R14" s="30">
        <f t="shared" ref="R14" si="5">F14/2</f>
        <v>0.1</v>
      </c>
      <c r="S14" s="34"/>
      <c r="T14" s="35">
        <v>0.05</v>
      </c>
      <c r="U14" s="35">
        <v>0.05</v>
      </c>
      <c r="V14" s="40"/>
      <c r="W14" s="40">
        <v>0.05</v>
      </c>
      <c r="X14" s="40">
        <f t="shared" ref="X14" si="6">F14*0.3</f>
        <v>0.06</v>
      </c>
      <c r="Y14" s="2"/>
    </row>
    <row r="15" spans="2:25" ht="19.5" customHeight="1" x14ac:dyDescent="0.35">
      <c r="B15" t="s">
        <v>41</v>
      </c>
      <c r="C15" s="53" t="s">
        <v>64</v>
      </c>
      <c r="D15" s="24">
        <v>0.2</v>
      </c>
      <c r="E15" s="24">
        <v>0.15</v>
      </c>
      <c r="F15" s="24">
        <v>0.15</v>
      </c>
      <c r="G15" s="16">
        <v>0.15</v>
      </c>
      <c r="H15" s="15">
        <v>0.15</v>
      </c>
      <c r="I15" s="15">
        <v>0.1</v>
      </c>
      <c r="J15" s="20">
        <v>0.15</v>
      </c>
      <c r="K15" s="19">
        <v>0.15</v>
      </c>
      <c r="L15" s="19">
        <v>0.1</v>
      </c>
      <c r="M15" s="27">
        <v>0.1</v>
      </c>
      <c r="N15" s="11">
        <v>0.1</v>
      </c>
      <c r="O15" s="11">
        <v>0.1</v>
      </c>
      <c r="P15" s="30">
        <f t="shared" ref="P15" si="7">D15/2</f>
        <v>0.1</v>
      </c>
      <c r="Q15" s="30">
        <f t="shared" ref="Q15:Q17" si="8">E15/2</f>
        <v>7.4999999999999997E-2</v>
      </c>
      <c r="R15" s="30">
        <f t="shared" ref="R15:R17" si="9">F15/2</f>
        <v>7.4999999999999997E-2</v>
      </c>
      <c r="S15" s="36">
        <v>0.05</v>
      </c>
      <c r="T15" s="35">
        <v>0.05</v>
      </c>
      <c r="U15" s="35">
        <v>0.05</v>
      </c>
      <c r="V15" s="40">
        <f>D15*0.3</f>
        <v>0.06</v>
      </c>
      <c r="W15" s="40">
        <v>0.05</v>
      </c>
      <c r="X15" s="40">
        <v>0.05</v>
      </c>
      <c r="Y15" s="2"/>
    </row>
    <row r="16" spans="2:25" ht="19.5" customHeight="1" x14ac:dyDescent="0.35">
      <c r="B16" t="s">
        <v>44</v>
      </c>
      <c r="C16" s="53" t="s">
        <v>65</v>
      </c>
      <c r="D16" s="23"/>
      <c r="E16" s="24">
        <v>0.05</v>
      </c>
      <c r="F16" s="24">
        <v>0.1</v>
      </c>
      <c r="G16" s="13"/>
      <c r="H16" s="15">
        <v>0.05</v>
      </c>
      <c r="I16" s="15">
        <v>0.1</v>
      </c>
      <c r="J16" s="18"/>
      <c r="K16" s="19">
        <v>0.05</v>
      </c>
      <c r="L16" s="19">
        <v>0.1</v>
      </c>
      <c r="M16" s="10"/>
      <c r="N16" s="11">
        <v>0.05</v>
      </c>
      <c r="O16" s="26">
        <v>7.4999999999999997E-2</v>
      </c>
      <c r="P16" s="30"/>
      <c r="Q16" s="30">
        <f t="shared" si="8"/>
        <v>2.5000000000000001E-2</v>
      </c>
      <c r="R16" s="30">
        <f t="shared" si="9"/>
        <v>0.05</v>
      </c>
      <c r="S16" s="34"/>
      <c r="T16" s="35"/>
      <c r="U16" s="35">
        <v>0.05</v>
      </c>
      <c r="V16" s="40"/>
      <c r="W16" s="40"/>
      <c r="X16" s="40">
        <v>0.05</v>
      </c>
      <c r="Y16" s="2"/>
    </row>
    <row r="17" spans="2:25" ht="19.5" customHeight="1" x14ac:dyDescent="0.35">
      <c r="B17" t="s">
        <v>45</v>
      </c>
      <c r="C17" s="53" t="s">
        <v>66</v>
      </c>
      <c r="D17" s="23"/>
      <c r="E17" s="24">
        <v>0.1</v>
      </c>
      <c r="F17" s="24">
        <v>0.15</v>
      </c>
      <c r="G17" s="13"/>
      <c r="H17" s="15">
        <v>0.05</v>
      </c>
      <c r="I17" s="15">
        <v>0.1</v>
      </c>
      <c r="J17" s="18"/>
      <c r="K17" s="19">
        <v>0.1</v>
      </c>
      <c r="L17" s="19">
        <v>0.1</v>
      </c>
      <c r="M17" s="10"/>
      <c r="N17" s="11"/>
      <c r="O17" s="11">
        <v>0.05</v>
      </c>
      <c r="P17" s="30"/>
      <c r="Q17" s="30">
        <f t="shared" si="8"/>
        <v>0.05</v>
      </c>
      <c r="R17" s="30">
        <f t="shared" si="9"/>
        <v>7.4999999999999997E-2</v>
      </c>
      <c r="S17" s="34"/>
      <c r="T17" s="35"/>
      <c r="U17" s="35"/>
      <c r="V17" s="39"/>
      <c r="W17" s="40"/>
      <c r="X17" s="40"/>
      <c r="Y17" s="2"/>
    </row>
    <row r="18" spans="2:25" ht="19.5" customHeight="1" x14ac:dyDescent="0.35">
      <c r="B18" t="s">
        <v>46</v>
      </c>
      <c r="C18" s="53" t="s">
        <v>67</v>
      </c>
      <c r="D18" s="23"/>
      <c r="E18" s="24"/>
      <c r="F18" s="24"/>
      <c r="G18" s="13"/>
      <c r="H18" s="15">
        <v>0.05</v>
      </c>
      <c r="I18" s="15">
        <v>0.05</v>
      </c>
      <c r="J18" s="18"/>
      <c r="K18" s="18"/>
      <c r="L18" s="19">
        <v>0.1</v>
      </c>
      <c r="M18" s="10"/>
      <c r="N18" s="11">
        <v>0.1</v>
      </c>
      <c r="O18" s="11">
        <v>0.15</v>
      </c>
      <c r="P18" s="28"/>
      <c r="Q18" s="29">
        <v>0.1</v>
      </c>
      <c r="R18" s="29">
        <v>0.2</v>
      </c>
      <c r="S18" s="34"/>
      <c r="T18" s="35">
        <v>0.15</v>
      </c>
      <c r="U18" s="35">
        <v>0.2</v>
      </c>
      <c r="V18" s="39"/>
      <c r="W18" s="41">
        <v>0.2</v>
      </c>
      <c r="X18" s="41">
        <v>0.25</v>
      </c>
      <c r="Y18" s="2"/>
    </row>
    <row r="19" spans="2:25" ht="19.5" customHeight="1" x14ac:dyDescent="0.35">
      <c r="B19" t="s">
        <v>47</v>
      </c>
      <c r="C19" s="53" t="s">
        <v>68</v>
      </c>
      <c r="D19" s="23"/>
      <c r="E19" s="23"/>
      <c r="F19" s="23"/>
      <c r="G19" s="13"/>
      <c r="H19" s="15">
        <v>0.05</v>
      </c>
      <c r="I19" s="15">
        <v>0.1</v>
      </c>
      <c r="J19" s="18"/>
      <c r="K19" s="19">
        <v>0.1</v>
      </c>
      <c r="L19" s="19">
        <v>0.1</v>
      </c>
      <c r="M19" s="10"/>
      <c r="N19" s="11">
        <v>0.05</v>
      </c>
      <c r="O19" s="11">
        <v>0.1</v>
      </c>
      <c r="P19" s="28"/>
      <c r="Q19" s="29">
        <v>0.05</v>
      </c>
      <c r="R19" s="29">
        <v>0.1</v>
      </c>
      <c r="S19" s="34"/>
      <c r="T19" s="35">
        <v>0.05</v>
      </c>
      <c r="U19" s="35">
        <v>0.15</v>
      </c>
      <c r="V19" s="39"/>
      <c r="W19" s="41">
        <v>0.05</v>
      </c>
      <c r="X19" s="41">
        <v>0.15</v>
      </c>
      <c r="Y19" s="2"/>
    </row>
    <row r="20" spans="2:25" ht="19.5" customHeight="1" x14ac:dyDescent="0.35">
      <c r="D20" s="23"/>
      <c r="E20" s="23"/>
      <c r="F20" s="23"/>
      <c r="G20" s="13"/>
      <c r="H20" s="13"/>
      <c r="I20" s="13"/>
      <c r="J20" s="18"/>
      <c r="K20" s="18"/>
      <c r="L20" s="18"/>
      <c r="M20" s="10"/>
      <c r="N20" s="10"/>
      <c r="O20" s="10"/>
      <c r="P20" s="28"/>
      <c r="Q20" s="28"/>
      <c r="R20" s="28"/>
      <c r="S20" s="34"/>
      <c r="T20" s="34"/>
      <c r="U20" s="34"/>
      <c r="V20" s="39"/>
      <c r="W20" s="39"/>
      <c r="X20" s="39"/>
      <c r="Y20" s="2"/>
    </row>
    <row r="21" spans="2:25" s="1" customFormat="1" ht="19.5" customHeight="1" x14ac:dyDescent="0.35">
      <c r="B21" s="1" t="s">
        <v>12</v>
      </c>
      <c r="D21" s="25">
        <f t="shared" ref="D21:R21" si="10">SUM(D7:D19)</f>
        <v>1</v>
      </c>
      <c r="E21" s="25">
        <f t="shared" si="10"/>
        <v>1</v>
      </c>
      <c r="F21" s="25">
        <f t="shared" si="10"/>
        <v>1</v>
      </c>
      <c r="G21" s="17">
        <f t="shared" si="10"/>
        <v>1</v>
      </c>
      <c r="H21" s="17">
        <f t="shared" si="10"/>
        <v>1.0000000000000002</v>
      </c>
      <c r="I21" s="17">
        <f t="shared" si="10"/>
        <v>1</v>
      </c>
      <c r="J21" s="21">
        <f t="shared" si="10"/>
        <v>1</v>
      </c>
      <c r="K21" s="21">
        <f t="shared" si="10"/>
        <v>1.0000000000000002</v>
      </c>
      <c r="L21" s="21">
        <f t="shared" si="10"/>
        <v>0.99999999999999989</v>
      </c>
      <c r="M21" s="12">
        <f t="shared" si="10"/>
        <v>1</v>
      </c>
      <c r="N21" s="12">
        <f t="shared" si="10"/>
        <v>1</v>
      </c>
      <c r="O21" s="12">
        <f t="shared" si="10"/>
        <v>1</v>
      </c>
      <c r="P21" s="31">
        <f t="shared" si="10"/>
        <v>1</v>
      </c>
      <c r="Q21" s="31">
        <f t="shared" si="10"/>
        <v>1</v>
      </c>
      <c r="R21" s="31">
        <f t="shared" si="10"/>
        <v>0.99999999999999989</v>
      </c>
      <c r="S21" s="37">
        <f t="shared" ref="S21:X21" si="11">SUM(S7:S19)</f>
        <v>1</v>
      </c>
      <c r="T21" s="37">
        <f t="shared" si="11"/>
        <v>1</v>
      </c>
      <c r="U21" s="37">
        <f t="shared" si="11"/>
        <v>1</v>
      </c>
      <c r="V21" s="42">
        <f t="shared" si="11"/>
        <v>1</v>
      </c>
      <c r="W21" s="42">
        <f t="shared" si="11"/>
        <v>1.0000000000000002</v>
      </c>
      <c r="X21" s="42">
        <f t="shared" si="11"/>
        <v>1</v>
      </c>
      <c r="Y21" s="3"/>
    </row>
    <row r="22" spans="2:25" ht="19.5" customHeight="1" x14ac:dyDescent="0.35">
      <c r="D22" s="23"/>
      <c r="E22" s="23"/>
      <c r="F22" s="23"/>
      <c r="G22" s="13"/>
      <c r="H22" s="13"/>
      <c r="I22" s="13"/>
      <c r="J22" s="22"/>
      <c r="K22" s="22"/>
      <c r="L22" s="22"/>
      <c r="M22" s="10"/>
      <c r="N22" s="10"/>
      <c r="O22" s="10"/>
      <c r="P22" s="32"/>
      <c r="Q22" s="32"/>
      <c r="R22" s="32"/>
      <c r="S22" s="33"/>
      <c r="T22" s="33"/>
      <c r="U22" s="33"/>
      <c r="V22" s="39"/>
      <c r="W22" s="39"/>
      <c r="X22" s="39"/>
      <c r="Y22" s="2"/>
    </row>
    <row r="23" spans="2:25" ht="19.5" customHeight="1" x14ac:dyDescent="0.35">
      <c r="B23" s="1" t="s">
        <v>8</v>
      </c>
      <c r="C23" s="1"/>
      <c r="V23" s="2"/>
      <c r="W23" s="2"/>
      <c r="X23" s="2"/>
      <c r="Y23" s="2"/>
    </row>
    <row r="24" spans="2:25" ht="19.5" customHeight="1" x14ac:dyDescent="0.35">
      <c r="O24" s="9"/>
    </row>
    <row r="25" spans="2:25" ht="19.5" customHeight="1" x14ac:dyDescent="0.35">
      <c r="B25" s="1" t="s">
        <v>9</v>
      </c>
      <c r="C25" s="1"/>
    </row>
    <row r="26" spans="2:25" ht="19.5" customHeight="1" x14ac:dyDescent="0.35">
      <c r="D26" s="5" t="s">
        <v>19</v>
      </c>
    </row>
    <row r="27" spans="2:25" ht="19.5" customHeight="1" x14ac:dyDescent="0.35"/>
  </sheetData>
  <mergeCells count="7">
    <mergeCell ref="V3:X3"/>
    <mergeCell ref="D3:F3"/>
    <mergeCell ref="G3:I3"/>
    <mergeCell ref="J3:L3"/>
    <mergeCell ref="S3:U3"/>
    <mergeCell ref="M3:O3"/>
    <mergeCell ref="P3:R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031A-EBAB-4FC3-8E9B-66E1E115F817}">
  <dimension ref="B6:D19"/>
  <sheetViews>
    <sheetView showGridLines="0" workbookViewId="0">
      <selection activeCell="A6" sqref="A6:XFD19"/>
    </sheetView>
  </sheetViews>
  <sheetFormatPr baseColWidth="10" defaultColWidth="30.81640625" defaultRowHeight="25.5" customHeight="1" x14ac:dyDescent="0.45"/>
  <cols>
    <col min="1" max="1" width="17.26953125" style="6" customWidth="1"/>
    <col min="2" max="2" width="40.1796875" style="6" customWidth="1"/>
    <col min="3" max="3" width="36" style="6" customWidth="1"/>
    <col min="4" max="16384" width="30.81640625" style="6"/>
  </cols>
  <sheetData>
    <row r="6" spans="2:4" s="7" customFormat="1" ht="25.5" customHeight="1" x14ac:dyDescent="0.35">
      <c r="B6" s="8" t="s">
        <v>25</v>
      </c>
      <c r="C6" s="8" t="s">
        <v>20</v>
      </c>
      <c r="D6" s="8" t="s">
        <v>21</v>
      </c>
    </row>
    <row r="7" spans="2:4" s="7" customFormat="1" ht="25.5" customHeight="1" x14ac:dyDescent="0.35">
      <c r="B7" s="7" t="s">
        <v>11</v>
      </c>
      <c r="C7" s="7" t="s">
        <v>22</v>
      </c>
      <c r="D7" s="7" t="s">
        <v>26</v>
      </c>
    </row>
    <row r="8" spans="2:4" s="7" customFormat="1" ht="25.5" customHeight="1" x14ac:dyDescent="0.35">
      <c r="B8" s="7" t="s">
        <v>29</v>
      </c>
      <c r="C8" s="7" t="s">
        <v>23</v>
      </c>
      <c r="D8" s="7" t="s">
        <v>27</v>
      </c>
    </row>
    <row r="9" spans="2:4" s="7" customFormat="1" ht="25.5" customHeight="1" x14ac:dyDescent="0.35">
      <c r="B9" s="7" t="s">
        <v>28</v>
      </c>
      <c r="C9" s="7" t="s">
        <v>23</v>
      </c>
      <c r="D9" s="7" t="s">
        <v>27</v>
      </c>
    </row>
    <row r="10" spans="2:4" s="7" customFormat="1" ht="25.5" customHeight="1" x14ac:dyDescent="0.35">
      <c r="B10" s="7" t="s">
        <v>2</v>
      </c>
      <c r="C10" s="7" t="s">
        <v>23</v>
      </c>
      <c r="D10" s="7" t="s">
        <v>30</v>
      </c>
    </row>
    <row r="11" spans="2:4" s="7" customFormat="1" ht="25.5" customHeight="1" x14ac:dyDescent="0.35">
      <c r="B11" s="7" t="s">
        <v>3</v>
      </c>
      <c r="C11" s="7" t="s">
        <v>24</v>
      </c>
      <c r="D11" s="7" t="s">
        <v>31</v>
      </c>
    </row>
    <row r="12" spans="2:4" s="7" customFormat="1" ht="25.5" customHeight="1" x14ac:dyDescent="0.35"/>
    <row r="13" spans="2:4" s="7" customFormat="1" ht="25.5" customHeight="1" x14ac:dyDescent="0.35">
      <c r="B13" s="8" t="s">
        <v>5</v>
      </c>
      <c r="C13" s="8" t="s">
        <v>20</v>
      </c>
      <c r="D13" s="8" t="s">
        <v>21</v>
      </c>
    </row>
    <row r="14" spans="2:4" s="7" customFormat="1" ht="25.5" customHeight="1" x14ac:dyDescent="0.35">
      <c r="B14" s="7" t="s">
        <v>0</v>
      </c>
      <c r="C14" s="7" t="s">
        <v>23</v>
      </c>
      <c r="D14" s="7" t="s">
        <v>33</v>
      </c>
    </row>
    <row r="15" spans="2:4" s="7" customFormat="1" ht="25.5" customHeight="1" x14ac:dyDescent="0.35">
      <c r="B15" s="7" t="s">
        <v>6</v>
      </c>
      <c r="C15" s="7" t="s">
        <v>23</v>
      </c>
      <c r="D15" s="7" t="s">
        <v>34</v>
      </c>
    </row>
    <row r="16" spans="2:4" s="7" customFormat="1" ht="43.5" customHeight="1" x14ac:dyDescent="0.35">
      <c r="B16" s="7" t="s">
        <v>7</v>
      </c>
      <c r="C16" s="7" t="s">
        <v>32</v>
      </c>
      <c r="D16" s="7" t="s">
        <v>35</v>
      </c>
    </row>
    <row r="17" spans="2:4" s="7" customFormat="1" ht="48.75" customHeight="1" x14ac:dyDescent="0.35">
      <c r="B17" s="7" t="s">
        <v>4</v>
      </c>
      <c r="C17" s="7" t="s">
        <v>24</v>
      </c>
      <c r="D17" s="7" t="s">
        <v>36</v>
      </c>
    </row>
    <row r="18" spans="2:4" s="7" customFormat="1" ht="25.5" customHeight="1" x14ac:dyDescent="0.35">
      <c r="B18" s="7" t="s">
        <v>15</v>
      </c>
      <c r="C18" s="7" t="s">
        <v>24</v>
      </c>
      <c r="D18" s="7" t="s">
        <v>37</v>
      </c>
    </row>
    <row r="19" spans="2:4" s="7" customFormat="1" ht="25.5" customHeight="1"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DFE2-AF5D-4C85-8C48-B2704E073E2E}">
  <dimension ref="A1"/>
  <sheetViews>
    <sheetView workbookViewId="0"/>
  </sheetViews>
  <sheetFormatPr baseColWidth="10" defaultRowHeight="14.5"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EBD46-5B03-4203-9754-561B2E8B2C19}">
  <dimension ref="B1:O22"/>
  <sheetViews>
    <sheetView showGridLines="0" workbookViewId="0">
      <selection activeCell="R6" sqref="R5:R6"/>
    </sheetView>
  </sheetViews>
  <sheetFormatPr baseColWidth="10" defaultRowHeight="14.5" x14ac:dyDescent="0.35"/>
  <cols>
    <col min="6" max="6" width="5.26953125" customWidth="1"/>
    <col min="13" max="13" width="2.453125" customWidth="1"/>
  </cols>
  <sheetData>
    <row r="1" spans="2:15" ht="28.5" x14ac:dyDescent="0.65">
      <c r="B1" s="61" t="s">
        <v>13</v>
      </c>
      <c r="C1" s="61"/>
      <c r="D1" s="61"/>
      <c r="E1" s="61"/>
      <c r="F1" s="61"/>
      <c r="G1" s="61"/>
      <c r="H1" s="61"/>
      <c r="I1" s="61"/>
      <c r="J1" s="61"/>
      <c r="K1" s="61"/>
      <c r="L1" s="61"/>
      <c r="M1" s="61"/>
      <c r="N1" s="61"/>
      <c r="O1" s="61"/>
    </row>
    <row r="2" spans="2:15" x14ac:dyDescent="0.35">
      <c r="C2" t="s">
        <v>38</v>
      </c>
    </row>
    <row r="22" spans="2:2" ht="26" x14ac:dyDescent="0.6">
      <c r="B22" s="4" t="s">
        <v>14</v>
      </c>
    </row>
  </sheetData>
  <mergeCells count="1">
    <mergeCell ref="B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EA49A-AC4E-4FB9-8721-52FD58884161}">
  <dimension ref="B1:O39"/>
  <sheetViews>
    <sheetView showGridLines="0" workbookViewId="0">
      <selection activeCell="B1" sqref="B1:O1"/>
    </sheetView>
  </sheetViews>
  <sheetFormatPr baseColWidth="10" defaultRowHeight="14.5" x14ac:dyDescent="0.35"/>
  <cols>
    <col min="6" max="6" width="5.26953125" customWidth="1"/>
    <col min="13" max="13" width="2.453125" customWidth="1"/>
  </cols>
  <sheetData>
    <row r="1" spans="2:15" ht="28.5" x14ac:dyDescent="0.65">
      <c r="B1" s="61" t="s">
        <v>52</v>
      </c>
      <c r="C1" s="61"/>
      <c r="D1" s="61"/>
      <c r="E1" s="61"/>
      <c r="F1" s="61"/>
      <c r="G1" s="61"/>
      <c r="H1" s="61"/>
      <c r="I1" s="61"/>
      <c r="J1" s="61"/>
      <c r="K1" s="61"/>
      <c r="L1" s="61"/>
      <c r="M1" s="61"/>
      <c r="N1" s="61"/>
      <c r="O1" s="61"/>
    </row>
    <row r="19" spans="2:15" ht="26" x14ac:dyDescent="0.6">
      <c r="B19" s="4" t="s">
        <v>14</v>
      </c>
    </row>
    <row r="21" spans="2:15" ht="28.5" x14ac:dyDescent="0.65">
      <c r="B21" s="61" t="s">
        <v>51</v>
      </c>
      <c r="C21" s="61"/>
      <c r="D21" s="61"/>
      <c r="E21" s="61"/>
      <c r="F21" s="61"/>
      <c r="G21" s="61"/>
      <c r="H21" s="61"/>
      <c r="I21" s="61"/>
      <c r="J21" s="61"/>
      <c r="K21" s="61"/>
      <c r="L21" s="61"/>
      <c r="M21" s="61"/>
      <c r="N21" s="61"/>
      <c r="O21" s="61"/>
    </row>
    <row r="39" spans="2:2" ht="26" x14ac:dyDescent="0.6">
      <c r="B39" s="4" t="s">
        <v>14</v>
      </c>
    </row>
  </sheetData>
  <mergeCells count="2">
    <mergeCell ref="B1:O1"/>
    <mergeCell ref="B21:O2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7D239-7A52-47DE-90B6-B87F09FADD45}">
  <dimension ref="B1:O39"/>
  <sheetViews>
    <sheetView showGridLines="0" workbookViewId="0">
      <selection activeCell="A21" sqref="A21:O21"/>
    </sheetView>
  </sheetViews>
  <sheetFormatPr baseColWidth="10" defaultRowHeight="14.5" x14ac:dyDescent="0.35"/>
  <cols>
    <col min="6" max="6" width="5.26953125" customWidth="1"/>
    <col min="13" max="13" width="2.453125" customWidth="1"/>
  </cols>
  <sheetData>
    <row r="1" spans="2:15" ht="28.5" x14ac:dyDescent="0.65">
      <c r="B1" s="61" t="s">
        <v>16</v>
      </c>
      <c r="C1" s="61"/>
      <c r="D1" s="61"/>
      <c r="E1" s="61"/>
      <c r="F1" s="61"/>
      <c r="G1" s="61"/>
      <c r="H1" s="61"/>
      <c r="I1" s="61"/>
      <c r="J1" s="61"/>
      <c r="K1" s="61"/>
      <c r="L1" s="61"/>
      <c r="M1" s="61"/>
      <c r="N1" s="61"/>
      <c r="O1" s="61"/>
    </row>
    <row r="19" spans="2:15" ht="26" x14ac:dyDescent="0.6">
      <c r="B19" s="4" t="s">
        <v>14</v>
      </c>
    </row>
    <row r="21" spans="2:15" ht="28.5" x14ac:dyDescent="0.65">
      <c r="B21" s="62"/>
      <c r="C21" s="62"/>
      <c r="D21" s="62"/>
      <c r="E21" s="62"/>
      <c r="F21" s="62"/>
      <c r="G21" s="62"/>
      <c r="H21" s="62"/>
      <c r="I21" s="62"/>
      <c r="J21" s="62"/>
      <c r="K21" s="62"/>
      <c r="L21" s="62"/>
      <c r="M21" s="62"/>
      <c r="N21" s="62"/>
      <c r="O21" s="62"/>
    </row>
    <row r="39" spans="2:2" ht="26" x14ac:dyDescent="0.6">
      <c r="B39" s="4"/>
    </row>
  </sheetData>
  <mergeCells count="2">
    <mergeCell ref="B1:O1"/>
    <mergeCell ref="B21:O2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48343E7AE90814998107EF6D97F6EE7" ma:contentTypeVersion="19" ma:contentTypeDescription="Opprett et nytt dokument." ma:contentTypeScope="" ma:versionID="3a5fc2cbcf5ac35ed502ef9e01de4b08">
  <xsd:schema xmlns:xsd="http://www.w3.org/2001/XMLSchema" xmlns:xs="http://www.w3.org/2001/XMLSchema" xmlns:p="http://schemas.microsoft.com/office/2006/metadata/properties" xmlns:ns2="57256882-87bc-455b-9c3e-38007a0d6aff" xmlns:ns3="3afb184f-c94b-4f26-b5de-ec4cd5693b72" targetNamespace="http://schemas.microsoft.com/office/2006/metadata/properties" ma:root="true" ma:fieldsID="39952531468fca4b1dcf912f3b388053" ns2:_="" ns3:_="">
    <xsd:import namespace="57256882-87bc-455b-9c3e-38007a0d6aff"/>
    <xsd:import namespace="3afb184f-c94b-4f26-b5de-ec4cd5693b7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256882-87bc-455b-9c3e-38007a0d6a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emerkelapper" ma:readOnly="false" ma:fieldId="{5cf76f15-5ced-4ddc-b409-7134ff3c332f}" ma:taxonomyMulti="true" ma:sspId="a550ba90-fdd4-482a-a791-d8744d258d1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fb184f-c94b-4f26-b5de-ec4cd5693b72" elementFormDefault="qualified">
    <xsd:import namespace="http://schemas.microsoft.com/office/2006/documentManagement/types"/>
    <xsd:import namespace="http://schemas.microsoft.com/office/infopath/2007/PartnerControls"/>
    <xsd:element name="SharedWithUsers" ma:index="16" nillable="true" ma:displayName="Del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lingsdetaljer" ma:internalName="SharedWithDetails" ma:readOnly="true">
      <xsd:simpleType>
        <xsd:restriction base="dms:Note">
          <xsd:maxLength value="255"/>
        </xsd:restriction>
      </xsd:simpleType>
    </xsd:element>
    <xsd:element name="TaxCatchAll" ma:index="23" nillable="true" ma:displayName="Taxonomy Catch All Column" ma:hidden="true" ma:list="{e1b1275f-ef78-47ac-8825-5bd4fbb9cbaf}" ma:internalName="TaxCatchAll" ma:showField="CatchAllData" ma:web="3afb184f-c94b-4f26-b5de-ec4cd5693b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holdstype"/>
        <xsd:element ref="dc:title" minOccurs="0" maxOccurs="1" ma:index="4" ma:displayName="Tit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7256882-87bc-455b-9c3e-38007a0d6aff">
      <Terms xmlns="http://schemas.microsoft.com/office/infopath/2007/PartnerControls"/>
    </lcf76f155ced4ddcb4097134ff3c332f>
    <TaxCatchAll xmlns="3afb184f-c94b-4f26-b5de-ec4cd5693b72" xsi:nil="true"/>
  </documentManagement>
</p:properties>
</file>

<file path=customXml/itemProps1.xml><?xml version="1.0" encoding="utf-8"?>
<ds:datastoreItem xmlns:ds="http://schemas.openxmlformats.org/officeDocument/2006/customXml" ds:itemID="{E724E21B-F5B2-4670-B041-A5109F4FA18D}"/>
</file>

<file path=customXml/itemProps2.xml><?xml version="1.0" encoding="utf-8"?>
<ds:datastoreItem xmlns:ds="http://schemas.openxmlformats.org/officeDocument/2006/customXml" ds:itemID="{BF711303-A8CA-4677-B441-1C3CF9A76077}"/>
</file>

<file path=customXml/itemProps3.xml><?xml version="1.0" encoding="utf-8"?>
<ds:datastoreItem xmlns:ds="http://schemas.openxmlformats.org/officeDocument/2006/customXml" ds:itemID="{CBEDF09A-B8A5-4A57-B122-60E069F735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6</vt:i4>
      </vt:variant>
    </vt:vector>
  </HeadingPairs>
  <TitlesOfParts>
    <vt:vector size="6" baseType="lpstr">
      <vt:lpstr>Definerte porteføljer</vt:lpstr>
      <vt:lpstr>Ark2</vt:lpstr>
      <vt:lpstr>Ark1</vt:lpstr>
      <vt:lpstr>100% Aksjer</vt:lpstr>
      <vt:lpstr>70_30</vt:lpstr>
      <vt:lpstr>80_20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 Damås</dc:creator>
  <cp:lastModifiedBy>Nora Damås</cp:lastModifiedBy>
  <dcterms:created xsi:type="dcterms:W3CDTF">2026-01-23T09:25:53Z</dcterms:created>
  <dcterms:modified xsi:type="dcterms:W3CDTF">2026-04-30T12:25:53Z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0x010100E48343E7AE90814998107EF6D97F6EE7</vt:lpwstr>
  </property>
</Properties>
</file>